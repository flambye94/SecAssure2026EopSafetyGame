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All Threats" sheetId="2" state="visible" r:id="rId4"/>
    <sheet name="Facilitator notes" sheetId="3" state="visible" r:id="rId5"/>
    <sheet name="STRIDE summary" sheetId="4" state="visible" r:id="rId6"/>
  </sheets>
  <definedNames>
    <definedName function="false" hidden="true" localSheetId="1" name="_xlnm._FilterDatabase" vbProcedure="false">'All Threats'!$A$1:$K$35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<sst xmlns="http://schemas.openxmlformats.org/spreadsheetml/2006/main" count="542" uniqueCount="233">
  <si>
    <t xml:space="preserve">Safety-Aware Elevation of Privilege — Consolidated Workshop Results</t>
  </si>
  <si>
    <t xml:space="preserve">Raw threat outputs from the EoP game sessions (Sechi &amp; Saad Noori, SecAssure 2026).</t>
  </si>
  <si>
    <t xml:space="preserve">Session inventory</t>
  </si>
  <si>
    <t xml:space="preserve">Session</t>
  </si>
  <si>
    <t xml:space="preserve">Participants</t>
  </si>
  <si>
    <t xml:space="preserve">Date</t>
  </si>
  <si>
    <t xml:space="preserve"># threats</t>
  </si>
  <si>
    <t xml:space="preserve">Recording</t>
  </si>
  <si>
    <t xml:space="preserve">A — Conf. workshop</t>
  </si>
  <si>
    <t xml:space="preserve">Researchers / academics at a Norwegian Cybersecurity Conference Workshop — 4 teams (Leonardo, Donatello, Michelangelo, Raphael)</t>
  </si>
  <si>
    <t xml:space="preserve">24 Nov 2025</t>
  </si>
  <si>
    <t xml:space="preserve">11</t>
  </si>
  <si>
    <t xml:space="preserve">Online platform + facilitator notes</t>
  </si>
  <si>
    <t xml:space="preserve">B — CTF group</t>
  </si>
  <si>
    <t xml:space="preserve">A university cybersecurity capture-the-flag group — seven students in three pairs (binômes), recorded as Students A, B, C</t>
  </si>
  <si>
    <t xml:space="preserve">6 Feb 2026</t>
  </si>
  <si>
    <t xml:space="preserve">16</t>
  </si>
  <si>
    <t xml:space="preserve">C — Master students</t>
  </si>
  <si>
    <t xml:space="preserve">University master students — Group A &amp; Group B</t>
  </si>
  <si>
    <t xml:space="preserve">25 Feb 2026</t>
  </si>
  <si>
    <t xml:space="preserve">2 threats tagged (7 entries)</t>
  </si>
  <si>
    <t xml:space="preserve">Paper table + cards + facilitator notes</t>
  </si>
  <si>
    <t xml:space="preserve">A 3-threat platform tutorial demo (24 Nov) was excluded as non-data. Facilitator notes were kept for all three sessions. Identifying details are anonymised: student names as Student A–H, and the conference teams as fantasy names (Leonardo, Donatello, Michelangelo, Raphael).</t>
  </si>
  <si>
    <t xml:space="preserve">What the columns mean</t>
  </si>
  <si>
    <t xml:space="preserve">Cyber severity (High/Medium/Low)</t>
  </si>
  <si>
    <t xml:space="preserve">The threat's information-security impact — confidentiality, integrity, availability — rated during EoP play. The security axis of the game; NOT the physical/safety consequence.</t>
  </si>
  <si>
    <t xml:space="preserve">Safety/HSE impact (High/Medium/Low)</t>
  </si>
  <si>
    <t xml:space="preserve">The physical / health-safety-environment consequence if the threat succeeds (modification M3). Independent of cyber severity.</t>
  </si>
  <si>
    <t xml:space="preserve">High</t>
  </si>
  <si>
    <t xml:space="preserve">Direct risk of injury, major outage, severe equipment damage, environmental impact.</t>
  </si>
  <si>
    <t xml:space="preserve">Medium</t>
  </si>
  <si>
    <t xml:space="preserve">Contributes to unsafe conditions (loss of operator visibility, delayed response, weakened protection).</t>
  </si>
  <si>
    <t xml:space="preserve">Low / None</t>
  </si>
  <si>
    <t xml:space="preserve">Mainly financial, reputational or confidentiality impact; no plausible path to a physical hazard.</t>
  </si>
  <si>
    <t xml:space="preserve">Note on Mitigation: discussing mitigations was deliberately out of scope in these sessions — the focus was the Safety/HSE impact dimension — so only a few were recorded. In EoP a mitigation addresses the underlying cybersecurity threat (the STRIDE vulnerability) by design, not the safety impact directly; reducing the cyber threat is what lowers the safety consequence.</t>
  </si>
  <si>
    <t xml:space="preserve">All values are recorded data. Cyber severity (Sessions A &amp; B) is from the platform; Safety/HSE impact (Session C) is from the participant groups; and the Safety/HSE impact (A &amp; B) and Cyber severity (C) are confirmed from the facilitator's session notes — see the 'Facilitator notes' sheet for the per-threat reasoning.</t>
  </si>
  <si>
    <t xml:space="preserve">No.</t>
  </si>
  <si>
    <t xml:space="preserve">Threat name</t>
  </si>
  <si>
    <t xml:space="preserve">STRIDE</t>
  </si>
  <si>
    <t xml:space="preserve">Cyber severity</t>
  </si>
  <si>
    <t xml:space="preserve">Author / group</t>
  </si>
  <si>
    <t xml:space="preserve">Description</t>
  </si>
  <si>
    <t xml:space="preserve">Mitigation</t>
  </si>
  <si>
    <t xml:space="preserve">Device / connection link</t>
  </si>
  <si>
    <t xml:space="preserve">Safety/HSE impact</t>
  </si>
  <si>
    <t xml:space="preserve">Safety reasoning</t>
  </si>
  <si>
    <t xml:space="preserve">OT network layer tampering</t>
  </si>
  <si>
    <t xml:space="preserve">Tampering</t>
  </si>
  <si>
    <t xml:space="preserve">Table 2: Donatello</t>
  </si>
  <si>
    <t xml:space="preserve">Modify the build system and produce signed builds, reaching the process/OT network layer.</t>
  </si>
  <si>
    <t xml:space="preserve">Process / OT network layer</t>
  </si>
  <si>
    <t xml:space="preserve">This reaches the OT/process layer directly, so the link to physical process impact is clear.</t>
  </si>
  <si>
    <t xml:space="preserve">Insert a backdoor in the SCADA HMI</t>
  </si>
  <si>
    <t xml:space="preserve">Table 3: Michelangelo</t>
  </si>
  <si>
    <t xml:space="preserve">Modify the build system and produce signed builds.</t>
  </si>
  <si>
    <t xml:space="preserve">SCADA HMI</t>
  </si>
  <si>
    <t xml:space="preserve">The HMI mainly affects supervision and operator trust. It becomes safety-critical if it leads to wrong decisions, but it is not direct actuation by itself.</t>
  </si>
  <si>
    <t xml:space="preserve">VPN key</t>
  </si>
  <si>
    <t xml:space="preserve">Table 4: Raphael</t>
  </si>
  <si>
    <t xml:space="preserve">Use the custom key to access VPN remote access.</t>
  </si>
  <si>
    <t xml:space="preserve">VPN remote access</t>
  </si>
  <si>
    <t xml:space="preserve">A VPN key is mainly an access path into the SCADA environment. The safety impact depends on what the attacker can reach after that.</t>
  </si>
  <si>
    <t xml:space="preserve">Backdoor (MTU)</t>
  </si>
  <si>
    <t xml:space="preserve">Table 1: Leonardo</t>
  </si>
  <si>
    <t xml:space="preserve">MTU backdoor: change safety features, raise allowed operating temperatures / max volts to cause physical wear and tear.</t>
  </si>
  <si>
    <t xml:space="preserve">Code-scanning tool to verify expected behaviour.</t>
  </si>
  <si>
    <t xml:space="preserve">MTU</t>
  </si>
  <si>
    <t xml:space="preserve">The MTU is close to process control, so a backdoor could affect commands, limits, or process behaviour.</t>
  </si>
  <si>
    <t xml:space="preserve">Replaying of commands between RTU and IED</t>
  </si>
  <si>
    <t xml:space="preserve">Replay commands sent to the IED to cause unexpected physical behaviour.</t>
  </si>
  <si>
    <t xml:space="preserve">RTU ↔ IED</t>
  </si>
  <si>
    <t xml:space="preserve">Replayed commands on this path can trigger unintended field actions, so the safety link is direct.</t>
  </si>
  <si>
    <t xml:space="preserve">MTU data tampering</t>
  </si>
  <si>
    <t xml:space="preserve">Manipulate MTU sensor data/logs to damage the system.</t>
  </si>
  <si>
    <t xml:space="preserve">False MTU data can make operators act on an incorrect process state, which may lead to unsafe operation or equipment damage.</t>
  </si>
  <si>
    <t xml:space="preserve">SCADA HMI tampering</t>
  </si>
  <si>
    <t xml:space="preserve">Replay incorrect values on the SCADA HMI.</t>
  </si>
  <si>
    <t xml:space="preserve">This mainly affects what operators see and trust. The safety impact is indirect unless control actions are also affected.</t>
  </si>
  <si>
    <t xml:space="preserve">Displaying old data</t>
  </si>
  <si>
    <t xml:space="preserve">Feed the MTU outdated historical data so a future attack is not discovered as quickly.</t>
  </si>
  <si>
    <t xml:space="preserve">Stale data can delay detection and response. The risk is serious, but it works through loss of visibility rather than direct control.</t>
  </si>
  <si>
    <t xml:space="preserve">Create information blindness</t>
  </si>
  <si>
    <t xml:space="preserve">Clone sensors with fake virtual ones; the system loses data from the 'ghost' segment so attacks and safety hazards needing operator input go unnoticed.</t>
  </si>
  <si>
    <t xml:space="preserve">Field sensors</t>
  </si>
  <si>
    <t xml:space="preserve">If operators or protection functions lose visibility of part of the process, hazards may go unnoticed.</t>
  </si>
  <si>
    <t xml:space="preserve">MTU safety-parameter tampering</t>
  </si>
  <si>
    <t xml:space="preserve">Tamper with limits/alerts for PLC safety events.</t>
  </si>
  <si>
    <t xml:space="preserve">MTU / PLC safety parameters</t>
  </si>
  <si>
    <t xml:space="preserve">Changing safety parameters directly weakens or bypasses a protection layer.</t>
  </si>
  <si>
    <t xml:space="preserve">Attack via physical device (USB)</t>
  </si>
  <si>
    <t xml:space="preserve">Malicious USB in the HMI workstation runs a payload to gain access, execute code, and manipulate displayed process data.</t>
  </si>
  <si>
    <t xml:space="preserve">HMI workstation</t>
  </si>
  <si>
    <t xml:space="preserve">A USB attack is an entry point. It becomes high only if the compromise reaches process control or safety-related functions.</t>
  </si>
  <si>
    <t xml:space="preserve">Tampering (SCADA Server)</t>
  </si>
  <si>
    <t xml:space="preserve">Student A</t>
  </si>
  <si>
    <t xml:space="preserve">Modify the build system and produce signed builds. Tampering the SCADA Server.</t>
  </si>
  <si>
    <t xml:space="preserve">SCADA Server</t>
  </si>
  <si>
    <t xml:space="preserve">Treated as high if the SCADA server can be manipulated, because it may affect supervision, commands, and the path toward OT control.</t>
  </si>
  <si>
    <t xml:space="preserve">Tampering the DES</t>
  </si>
  <si>
    <t xml:space="preserve">Student B</t>
  </si>
  <si>
    <t xml:space="preserve">No integrity protection; send false alerts to the DES to throw operators off.</t>
  </si>
  <si>
    <t xml:space="preserve">Data Exchange Server (DES)</t>
  </si>
  <si>
    <t xml:space="preserve">Low–Medium</t>
  </si>
  <si>
    <t xml:space="preserve">The DES can mislead operators or disturb data exchange, but the safety link is indirect unless it changes operational decisions or enables deeper SCADA access.</t>
  </si>
  <si>
    <t xml:space="preserve">DMZ Firewall</t>
  </si>
  <si>
    <t xml:space="preserve">Student C</t>
  </si>
  <si>
    <t xml:space="preserve">Modify firewall rules to allow access to the SCADA network that should be limited to the DMZ.</t>
  </si>
  <si>
    <t xml:space="preserve">Medium–High</t>
  </si>
  <si>
    <t xml:space="preserve">The firewall itself is not the hazard. The safety impact becomes high if rule changes open a path from IT/DMZ into SCADA or OT.</t>
  </si>
  <si>
    <t xml:space="preserve">Router</t>
  </si>
  <si>
    <t xml:space="preserve">Tamper with the router to reroute packets and eavesdrop.</t>
  </si>
  <si>
    <t xml:space="preserve">Router / Office network</t>
  </si>
  <si>
    <t xml:space="preserve">A good example of the CTF group focusing on familiar IT. An office router is not automatically safety-critical unless it carries SCADA or OT traffic.</t>
  </si>
  <si>
    <t xml:space="preserve">VPN firewall</t>
  </si>
  <si>
    <t xml:space="preserve">Load code via an extension point; loosen restrictions on the VPN connection to SCADA.</t>
  </si>
  <si>
    <t xml:space="preserve">VPN Firewall / SCADA</t>
  </si>
  <si>
    <t xml:space="preserve">Weak VPN controls make access easier, but the safety impact depends on whether that access can reach SCADA or OT functions.</t>
  </si>
  <si>
    <t xml:space="preserve">Override the command the MTU gives the SCADA server; make the MTU a slave.</t>
  </si>
  <si>
    <t xml:space="preserve">The MTU is close to the control process. Compromise here can influence commands or process coordination.</t>
  </si>
  <si>
    <t xml:space="preserve">Remote access</t>
  </si>
  <si>
    <t xml:space="preserve">Low</t>
  </si>
  <si>
    <t xml:space="preserve">Malicious injected browser tampers with the remote-access install.</t>
  </si>
  <si>
    <t xml:space="preserve">Remote-access server</t>
  </si>
  <si>
    <t xml:space="preserve">Remote access is an entry point rather than a direct safety mechanism. It becomes more safety-relevant if it gives a credible path into SCADA.</t>
  </si>
  <si>
    <t xml:space="preserve">Spoofing</t>
  </si>
  <si>
    <t xml:space="preserve">Take over the port/socket the server uses to see operator actions and control the interface.</t>
  </si>
  <si>
    <t xml:space="preserve">The HMI can affect what operators see and possibly what they command, creating a clear path to unsafe decisions or control actions.</t>
  </si>
  <si>
    <t xml:space="preserve">Workstation</t>
  </si>
  <si>
    <t xml:space="preserve">Spoofing the office workstation gives access to the SCADA network.</t>
  </si>
  <si>
    <t xml:space="preserve">Office workstation</t>
  </si>
  <si>
    <t xml:space="preserve">An office workstation is not directly safety-critical, but it matters if it becomes a pivot point toward SCADA.</t>
  </si>
  <si>
    <t xml:space="preserve">RTU</t>
  </si>
  <si>
    <t xml:space="preserve">Spoof the process network to control that part of the line.</t>
  </si>
  <si>
    <t xml:space="preserve">RTU / process network</t>
  </si>
  <si>
    <t xml:space="preserve">The RTU is connected to the physical process, so compromise can directly affect field behaviour.</t>
  </si>
  <si>
    <t xml:space="preserve">Spoofing VPN</t>
  </si>
  <si>
    <t xml:space="preserve">Gives access to the SCADA network.</t>
  </si>
  <si>
    <t xml:space="preserve">VPN</t>
  </si>
  <si>
    <t xml:space="preserve">VPN spoofing is not the safety impact itself. It matters because it may create access to SCADA or OT.</t>
  </si>
  <si>
    <t xml:space="preserve">Credibility</t>
  </si>
  <si>
    <t xml:space="preserve">Hijack the JWT via XSS on a vulnerable company site, then traverse it with those credentials.</t>
  </si>
  <si>
    <t xml:space="preserve">Encrypt credentials.</t>
  </si>
  <si>
    <t xml:space="preserve">Company web app / JWT</t>
  </si>
  <si>
    <t xml:space="preserve">Mainly IT-focused: identity, trust, web security, or confidentiality. There is no clear physical process path.</t>
  </si>
  <si>
    <t xml:space="preserve">Data Exchange server</t>
  </si>
  <si>
    <t xml:space="preserve">Steal credentials stored on the server (e.g. world-readable key) and reuse them to bypass login.</t>
  </si>
  <si>
    <t xml:space="preserve">Data Exchange Server</t>
  </si>
  <si>
    <t xml:space="preserve">DES compromise may support later access or wrong information flow, but the safety effect is indirect unless operational data is altered.</t>
  </si>
  <si>
    <t xml:space="preserve">Attack the router</t>
  </si>
  <si>
    <t xml:space="preserve">Reverse-access the DES and office workstation to map the system as an operator would.</t>
  </si>
  <si>
    <t xml:space="preserve">Router / DES / workstation</t>
  </si>
  <si>
    <t xml:space="preserve">Reconnaissance or router attacks can support later compromise, but they do not by themselves create physical harm.</t>
  </si>
  <si>
    <t xml:space="preserve">DDoS for opening gateways</t>
  </si>
  <si>
    <t xml:space="preserve">Denial of Service</t>
  </si>
  <si>
    <t xml:space="preserve">A DDoS could make servers unresponsive and expose infrastructure vulnerabilities.</t>
  </si>
  <si>
    <t xml:space="preserve">Servers / gateways</t>
  </si>
  <si>
    <t xml:space="preserve">Availability loss can become safety-relevant if operators lose monitoring or control during an abnormal process condition.</t>
  </si>
  <si>
    <t xml:space="preserve">Elevate from the workstations to the SCADA server</t>
  </si>
  <si>
    <t xml:space="preserve">Elevation of Privilege</t>
  </si>
  <si>
    <t xml:space="preserve">Spoof the workstation and then elevate to the SCADA server.</t>
  </si>
  <si>
    <t xml:space="preserve">Workstation → SCADA Server</t>
  </si>
  <si>
    <t xml:space="preserve">The key IT-to-OT escalation path. Once the attack reaches the SCADA server, the safety link becomes strong.</t>
  </si>
  <si>
    <t xml:space="preserve">Tampering 5</t>
  </si>
  <si>
    <t xml:space="preserve">Group A (Student D, Student E, Student F)</t>
  </si>
  <si>
    <t xml:space="preserve">Safety tagging — Round 1</t>
  </si>
  <si>
    <t xml:space="preserve">SCADA Servers — SCADA Network</t>
  </si>
  <si>
    <t xml:space="preserve">SCADA servers lack encryption, so they are susceptible to tampering/interception; recorded-then-reused credentials make severity High. Servers hold many process data points and company-sensitive production info; can severely impact production.</t>
  </si>
  <si>
    <t xml:space="preserve">Tampering 5 (legacy access)</t>
  </si>
  <si>
    <t xml:space="preserve">Office Network</t>
  </si>
  <si>
    <t xml:space="preserve">Occurs if the attacker has user authentication; weakness from legacy configs giving access to the shared folder. Impact could grow via unauthorised document/data leakage.</t>
  </si>
  <si>
    <t xml:space="preserve">EoP 4</t>
  </si>
  <si>
    <t xml:space="preserve">Safety tagging — Round 2</t>
  </si>
  <si>
    <t xml:space="preserve">SCADA Server — SCADA Network</t>
  </si>
  <si>
    <t xml:space="preserve">Privileges elevated from a closed environment to the SCADA server; if it is the server, the attacker can hold admin rights.</t>
  </si>
  <si>
    <t xml:space="preserve">OT Network</t>
  </si>
  <si>
    <t xml:space="preserve">If reached (difficult), the attacker interacts directly with physical assets via IEDs, RTUs and MV/LV bus systems. Impact: physical damage, safety hazards, or complete shutdown.</t>
  </si>
  <si>
    <t xml:space="preserve">EoP 4 (office elevation)</t>
  </si>
  <si>
    <t xml:space="preserve">Initial access to an office workstation gives a foothold; the attacker can attempt to elevate and roam to hidden confidential information.</t>
  </si>
  <si>
    <t xml:space="preserve">Group B (Student G, Student H)</t>
  </si>
  <si>
    <t xml:space="preserve">SCADA Server / MTU ↔ RTU (Process WAN link)</t>
  </si>
  <si>
    <t xml:space="preserve">Attacker on the SCADA–OT path captures legitimate control traffic; messages lack timestamps/nonces/sequence numbers, so valid commands can be replayed undetected. Consequences: unintended breaker operations; energise/de-energise MV bus; overload LV; equipment damage; personnel hazard; grid instability.</t>
  </si>
  <si>
    <t xml:space="preserve">SCADA network</t>
  </si>
  <si>
    <t xml:space="preserve">Attacker exploits a containerised service (e.g. VPN Access server) and escapes to the host OS; can send unauthorised control commands and override operator HMI displays.</t>
  </si>
  <si>
    <t xml:space="preserve">Facilitator notes — Safety/HSE tagging (confirmed values + reasoning)</t>
  </si>
  <si>
    <t xml:space="preserve">1.  Questions asked for each accepted threat</t>
  </si>
  <si>
    <t xml:space="preserve">Q1.  Can it create or enable a dangerous physical state?  (e.g. wrong switching of breakers, loss of protection, unstable grid)</t>
  </si>
  <si>
    <t xml:space="preserve">Q2.  Could it harm people, the environment, or critical equipment?  (e.g. risk to field technicians or the public, fire, overload, equipment damage)</t>
  </si>
  <si>
    <t xml:space="preserve">Then tag the threat:</t>
  </si>
  <si>
    <t xml:space="preserve">      High — direct risk of injury, major outage, severe equipment damage.</t>
  </si>
  <si>
    <t xml:space="preserve">      Medium — contributes to unsafe conditions (loss of visibility, delayed response, weakened protection).</t>
  </si>
  <si>
    <t xml:space="preserve">      Low/None — mainly financial, reputational or confidentiality impact.</t>
  </si>
  <si>
    <t xml:space="preserve">2.  Reference architecture (Smart Grid, Purdue model)</t>
  </si>
  <si>
    <t xml:space="preserve">Target system zones, top (IT) to bottom (field):  Office Network (Router, Workstations &amp; Servers)  →  DMZ (Firewall, Data Exchange Server)  →  SCADA Network (SCADA Servers, SCADA HMI, Remote Access via VPN, Firewalls, MTU)  →  OT Network (Primary Assets, IED, RTU, Switches, Process WAN, Modem, MV Bus, LV Load).</t>
  </si>
  <si>
    <t xml:space="preserve">Tagging guideline (good practice, not an absolute rule): as a rule of thumb, the closer a component is to actuating the physical process (MTU, RTU, IED, PLC safety parameters, MV bus, primary assets), the higher its safety impact; IT/DMZ components are usually Low/Medium unless they are a stepping-stone into SCADA/OT. How well it is applied depends on the context the facilitator gives (see sections 3–4).</t>
  </si>
  <si>
    <t xml:space="preserve">3.  What we observed when participants assessed safety impact</t>
  </si>
  <si>
    <t xml:space="preserve">•  Conference workshop — reasonably good safety reasoning across the table teams.</t>
  </si>
  <si>
    <t xml:space="preserve">•  CTF group — weakest: the group attacked what they knew best, so familiar IT components (router, switch) drew the most attention and the actuation→safety link was under-recognised.</t>
  </si>
  <si>
    <t xml:space="preserve">•  Master students — a good grasp of safety impact emerged through discussion, though the first two threats (Tampering 5, EoP 4) were difficult at first.</t>
  </si>
  <si>
    <t xml:space="preserve">Facilitator framing: to help students reason about physical consequences, the facilitator gave examples from the power-system domain. The facilitator is not a power-systems expert but is confident on cyber severity and is developing the safety-impact judgement — so the tags reflect facilitator-scaffolded reasoning and would shift with a different domain framing.</t>
  </si>
  <si>
    <t xml:space="preserve">Takeaway: the guideline above is a useful rule of thumb, not an absolute rule; it is not noticed automatically and depends on how the facilitator frames the domain — which is exactly why the explicit safety prompt (M3), concrete domain examples, and group discussion matter.</t>
  </si>
  <si>
    <t xml:space="preserve">4.  Facilitator-confirmed values (from your notes)</t>
  </si>
  <si>
    <t xml:space="preserve">Session A — Conference workshop: confirmed Safety/HSE impact</t>
  </si>
  <si>
    <t xml:space="preserve">Threat</t>
  </si>
  <si>
    <t xml:space="preserve">Device / layer</t>
  </si>
  <si>
    <t xml:space="preserve">Safety</t>
  </si>
  <si>
    <t xml:space="preserve">Facilitator note</t>
  </si>
  <si>
    <t xml:space="preserve">Session B — CTF group: confirmed Safety/HSE impact (recalibrated)</t>
  </si>
  <si>
    <t xml:space="preserve">Session C — Master students: confirmed Cyber severity</t>
  </si>
  <si>
    <t xml:space="preserve">Threat (group)</t>
  </si>
  <si>
    <t xml:space="preserve">Device / link</t>
  </si>
  <si>
    <t xml:space="preserve">Cyber sev.</t>
  </si>
  <si>
    <t xml:space="preserve">Tampering 5  (GA)</t>
  </si>
  <si>
    <t xml:space="preserve">Tampering with SCADA servers affects integrity at a central point in the architecture, so the security impact is high.</t>
  </si>
  <si>
    <t xml:space="preserve">Tampering 5 (legacy access)  (GA)</t>
  </si>
  <si>
    <t xml:space="preserve">Legacy access creates a weaker entry point, especially through shared folders or outdated authentication. The impact is real, but more limited than direct SCADA compromise.</t>
  </si>
  <si>
    <t xml:space="preserve">EoP 4  (GA)</t>
  </si>
  <si>
    <t xml:space="preserve">Privilege escalation on the SCADA server is high severity because it can give administrative control over a critical system.</t>
  </si>
  <si>
    <t xml:space="preserve">When privilege escalation reaches the OT network, the attacker moves closer to physical assets and control functions.</t>
  </si>
  <si>
    <t xml:space="preserve">EoP 4 (office elevation)  (GA)</t>
  </si>
  <si>
    <t xml:space="preserve">Office-side elevation is a serious foothold, but it remains one step removed from SCADA or OT unless lateral movement is shown.</t>
  </si>
  <si>
    <t xml:space="preserve">Tampering 5  (GB)</t>
  </si>
  <si>
    <t xml:space="preserve">Replay or tampering on the SCADA–MTU–RTU path affects command integrity and can make malicious commands appear legitimate.</t>
  </si>
  <si>
    <t xml:space="preserve">EoP 4  (GB)</t>
  </si>
  <si>
    <t xml:space="preserve">A container escape to the host can give broad control of the underlying system, so the compromise is not limited to the application layer.</t>
  </si>
  <si>
    <t xml:space="preserve">Threats by STRIDE category and session (auto-counted from 'All Threats')</t>
  </si>
  <si>
    <t xml:space="preserve">STRIDE category</t>
  </si>
  <si>
    <t xml:space="preserve">Session A — Conf. workshop</t>
  </si>
  <si>
    <t xml:space="preserve">Session B — CTF group</t>
  </si>
  <si>
    <t xml:space="preserve">Session C — Master*</t>
  </si>
  <si>
    <t xml:space="preserve">Total</t>
  </si>
  <si>
    <t xml:space="preserve">Repudiation</t>
  </si>
  <si>
    <t xml:space="preserve">Information Disclosure</t>
  </si>
  <si>
    <t xml:space="preserve">* Session C was a safety-tagging activity on two threats (Round 1 = Tampering 5; Round 2 = Elevation of Privilege 4), each assessed by Groups A and B across several device links; its entries are tagging assessments, not independent threats.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</si>
</sst>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4CCCC"/>
        <bgColor rgb="FFFCE5CD"/>
      </patternFill>
    </fill>
    <fill>
      <patternFill patternType="solid">
        <fgColor rgb="FFFCE5CD"/>
        <bgColor rgb="FFD9EAD3"/>
      </patternFill>
    </fill>
    <fill>
      <patternFill patternType="solid">
        <fgColor rgb="FFD9EAD3"/>
        <bgColor rgb="FFD9E1F2"/>
      </patternFill>
    </fill>
    <fill>
      <patternFill patternType="solid">
        <fgColor rgb="FFD9E1F2"/>
        <bgColor rgb="FFD9EAD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6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 patternType="solid">
          <fgColor rgb="FFFCE5CD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5CD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17</xdr:row>
      <xdr:rowOff>48240</xdr:rowOff>
    </xdr:from>
    <xdr:to>
      <xdr:col>4</xdr:col>
      <xdr:colOff>1775160</xdr:colOff>
      <xdr:row>34</xdr:row>
      <xdr:rowOff>105120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3429000"/>
          <a:ext cx="6286320" cy="32954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3" min="2" style="0" width="30"/>
    <col collapsed="false" customWidth="true" hidden="false" outlineLevel="0" max="4" min="4" style="0" width="15"/>
    <col collapsed="false" customWidth="true" hidden="false" outlineLevel="0" max="5" min="5" style="0" width="12"/>
    <col collapsed="false" customWidth="true" hidden="false" outlineLevel="0" max="6" min="6" style="0" width="40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4" t="s">
        <v>3</v>
      </c>
      <c r="C6" s="4" t="s">
        <v>4</v>
      </c>
      <c r="D6" s="4" t="s">
        <v>5</v>
      </c>
      <c r="E6" s="4" t="s">
        <v>6</v>
      </c>
      <c r="F6" s="4" t="s">
        <v>7</v>
      </c>
    </row>
    <row r="7" customFormat="false" ht="57.45" hidden="false" customHeight="false" outlineLevel="0" collapsed="false">
      <c r="B7" s="5" t="s">
        <v>8</v>
      </c>
      <c r="C7" s="5" t="s">
        <v>9</v>
      </c>
      <c r="D7" s="5" t="s">
        <v>10</v>
      </c>
      <c r="E7" s="6" t="s">
        <v>11</v>
      </c>
      <c r="F7" s="5" t="s">
        <v>12</v>
      </c>
    </row>
    <row r="8" customFormat="false" ht="46.25" hidden="false" customHeight="false" outlineLevel="0" collapsed="false">
      <c r="B8" s="5" t="s">
        <v>13</v>
      </c>
      <c r="C8" s="5" t="s">
        <v>14</v>
      </c>
      <c r="D8" s="5" t="s">
        <v>15</v>
      </c>
      <c r="E8" s="6" t="s">
        <v>16</v>
      </c>
      <c r="F8" s="5" t="s">
        <v>12</v>
      </c>
    </row>
    <row r="9" customFormat="false" ht="35.05" hidden="false" customHeight="false" outlineLevel="0" collapsed="false">
      <c r="B9" s="5" t="s">
        <v>17</v>
      </c>
      <c r="C9" s="5" t="s">
        <v>18</v>
      </c>
      <c r="D9" s="5" t="s">
        <v>19</v>
      </c>
      <c r="E9" s="6" t="s">
        <v>20</v>
      </c>
      <c r="F9" s="5" t="s">
        <v>21</v>
      </c>
    </row>
    <row r="10" customFormat="false" ht="22.35" hidden="false" customHeight="true" outlineLevel="0" collapsed="false">
      <c r="B10" s="7" t="s">
        <v>22</v>
      </c>
      <c r="C10" s="7"/>
      <c r="D10" s="7"/>
      <c r="E10" s="7"/>
      <c r="F10" s="7"/>
    </row>
    <row r="12" customFormat="false" ht="15" hidden="false" customHeight="false" outlineLevel="0" collapsed="false">
      <c r="B12" s="3" t="s">
        <v>23</v>
      </c>
    </row>
    <row r="14" customFormat="false" ht="23.85" hidden="false" customHeight="true" outlineLevel="0" collapsed="false">
      <c r="B14" s="8" t="s">
        <v>24</v>
      </c>
      <c r="C14" s="9" t="s">
        <v>25</v>
      </c>
      <c r="D14" s="9"/>
      <c r="E14" s="9"/>
      <c r="F14" s="9"/>
    </row>
    <row r="15" customFormat="false" ht="23.85" hidden="false" customHeight="true" outlineLevel="0" collapsed="false">
      <c r="B15" s="8" t="s">
        <v>26</v>
      </c>
      <c r="C15" s="9" t="s">
        <v>27</v>
      </c>
      <c r="D15" s="9"/>
      <c r="E15" s="9"/>
      <c r="F15" s="9"/>
    </row>
    <row r="16" customFormat="false" ht="15" hidden="false" customHeight="true" outlineLevel="0" collapsed="false">
      <c r="B16" s="10" t="s">
        <v>28</v>
      </c>
      <c r="C16" s="9" t="s">
        <v>29</v>
      </c>
      <c r="D16" s="9"/>
      <c r="E16" s="9"/>
      <c r="F16" s="9"/>
    </row>
    <row r="17" customFormat="false" ht="15" hidden="false" customHeight="true" outlineLevel="0" collapsed="false">
      <c r="B17" s="11" t="s">
        <v>30</v>
      </c>
      <c r="C17" s="9" t="s">
        <v>31</v>
      </c>
      <c r="D17" s="9"/>
      <c r="E17" s="9"/>
      <c r="F17" s="9"/>
    </row>
    <row r="18" customFormat="false" ht="15" hidden="false" customHeight="true" outlineLevel="0" collapsed="false">
      <c r="B18" s="12" t="s">
        <v>32</v>
      </c>
      <c r="C18" s="9" t="s">
        <v>33</v>
      </c>
      <c r="D18" s="9"/>
      <c r="E18" s="9"/>
      <c r="F18" s="9"/>
    </row>
    <row r="20" customFormat="false" ht="15" hidden="false" customHeight="true" outlineLevel="0" collapsed="false">
      <c r="B20" s="7" t="s">
        <v>34</v>
      </c>
      <c r="C20" s="7"/>
      <c r="D20" s="7"/>
      <c r="E20" s="7"/>
      <c r="F20" s="7"/>
    </row>
    <row r="21" customFormat="false" ht="15" hidden="false" customHeight="false" outlineLevel="0" collapsed="false">
      <c r="B21" s="7"/>
      <c r="C21" s="7"/>
      <c r="D21" s="7"/>
      <c r="E21" s="7"/>
      <c r="F21" s="7"/>
    </row>
    <row r="22" customFormat="false" ht="15" hidden="false" customHeight="true" outlineLevel="0" collapsed="false">
      <c r="B22" s="13" t="s">
        <v>35</v>
      </c>
      <c r="C22" s="13"/>
      <c r="D22" s="13"/>
      <c r="E22" s="13"/>
      <c r="F22" s="13"/>
    </row>
    <row r="23" customFormat="false" ht="15" hidden="false" customHeight="false" outlineLevel="0" collapsed="false">
      <c r="B23" s="13"/>
      <c r="C23" s="13"/>
      <c r="D23" s="13"/>
      <c r="E23" s="13"/>
      <c r="F23" s="13"/>
    </row>
  </sheetData>
  <mergeCells count="8">
    <mergeCell ref="B10:F10"/>
    <mergeCell ref="C14:F14"/>
    <mergeCell ref="C15:F15"/>
    <mergeCell ref="C16:F16"/>
    <mergeCell ref="C17:F17"/>
    <mergeCell ref="C18:F18"/>
    <mergeCell ref="B20:F21"/>
    <mergeCell ref="B22:F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13"/>
    <col collapsed="false" customWidth="true" hidden="false" outlineLevel="0" max="6" min="6" style="0" width="24"/>
    <col collapsed="false" customWidth="true" hidden="false" outlineLevel="0" max="7" min="7" style="0" width="38"/>
    <col collapsed="false" customWidth="true" hidden="false" outlineLevel="0" max="8" min="8" style="0" width="20"/>
    <col collapsed="false" customWidth="true" hidden="false" outlineLevel="0" max="9" min="9" style="0" width="26"/>
    <col collapsed="false" customWidth="true" hidden="false" outlineLevel="0" max="10" min="10" style="0" width="13"/>
    <col collapsed="false" customWidth="true" hidden="false" outlineLevel="0" max="11" min="11" style="0" width="44"/>
  </cols>
  <sheetData>
    <row r="1" customFormat="false" ht="23.85" hidden="false" customHeight="false" outlineLevel="0" collapsed="false">
      <c r="A1" s="4" t="s">
        <v>3</v>
      </c>
      <c r="B1" s="4" t="s">
        <v>36</v>
      </c>
      <c r="C1" s="4" t="s">
        <v>37</v>
      </c>
      <c r="D1" s="4" t="s">
        <v>38</v>
      </c>
      <c r="E1" s="4" t="s">
        <v>39</v>
      </c>
      <c r="F1" s="4" t="s">
        <v>40</v>
      </c>
      <c r="G1" s="4" t="s">
        <v>41</v>
      </c>
      <c r="H1" s="4" t="s">
        <v>42</v>
      </c>
      <c r="I1" s="4" t="s">
        <v>43</v>
      </c>
      <c r="J1" s="4" t="s">
        <v>44</v>
      </c>
      <c r="K1" s="4" t="s">
        <v>45</v>
      </c>
    </row>
    <row r="2" customFormat="false" ht="23.85" hidden="false" customHeight="false" outlineLevel="0" collapsed="false">
      <c r="A2" s="5" t="s">
        <v>8</v>
      </c>
      <c r="B2" s="6" t="n">
        <v>1</v>
      </c>
      <c r="C2" s="5" t="s">
        <v>46</v>
      </c>
      <c r="D2" s="6" t="s">
        <v>47</v>
      </c>
      <c r="E2" s="14" t="s">
        <v>28</v>
      </c>
      <c r="F2" s="5" t="s">
        <v>48</v>
      </c>
      <c r="G2" s="5" t="s">
        <v>49</v>
      </c>
      <c r="H2" s="5"/>
      <c r="I2" s="5" t="s">
        <v>50</v>
      </c>
      <c r="J2" s="14" t="s">
        <v>28</v>
      </c>
      <c r="K2" s="5" t="s">
        <v>51</v>
      </c>
    </row>
    <row r="3" customFormat="false" ht="35.05" hidden="false" customHeight="false" outlineLevel="0" collapsed="false">
      <c r="A3" s="5" t="s">
        <v>8</v>
      </c>
      <c r="B3" s="6" t="n">
        <v>2</v>
      </c>
      <c r="C3" s="5" t="s">
        <v>52</v>
      </c>
      <c r="D3" s="6" t="s">
        <v>47</v>
      </c>
      <c r="E3" s="15" t="s">
        <v>30</v>
      </c>
      <c r="F3" s="5" t="s">
        <v>53</v>
      </c>
      <c r="G3" s="5" t="s">
        <v>54</v>
      </c>
      <c r="H3" s="5"/>
      <c r="I3" s="5" t="s">
        <v>55</v>
      </c>
      <c r="J3" s="15" t="s">
        <v>30</v>
      </c>
      <c r="K3" s="5" t="s">
        <v>56</v>
      </c>
    </row>
    <row r="4" customFormat="false" ht="35.05" hidden="false" customHeight="false" outlineLevel="0" collapsed="false">
      <c r="A4" s="5" t="s">
        <v>8</v>
      </c>
      <c r="B4" s="6" t="n">
        <v>3</v>
      </c>
      <c r="C4" s="5" t="s">
        <v>57</v>
      </c>
      <c r="D4" s="6" t="s">
        <v>47</v>
      </c>
      <c r="E4" s="15" t="s">
        <v>30</v>
      </c>
      <c r="F4" s="5" t="s">
        <v>58</v>
      </c>
      <c r="G4" s="5" t="s">
        <v>59</v>
      </c>
      <c r="H4" s="5"/>
      <c r="I4" s="5" t="s">
        <v>60</v>
      </c>
      <c r="J4" s="15" t="s">
        <v>30</v>
      </c>
      <c r="K4" s="5" t="s">
        <v>61</v>
      </c>
    </row>
    <row r="5" customFormat="false" ht="35.05" hidden="false" customHeight="false" outlineLevel="0" collapsed="false">
      <c r="A5" s="5" t="s">
        <v>8</v>
      </c>
      <c r="B5" s="6" t="n">
        <v>4</v>
      </c>
      <c r="C5" s="5" t="s">
        <v>62</v>
      </c>
      <c r="D5" s="6" t="s">
        <v>47</v>
      </c>
      <c r="E5" s="14" t="s">
        <v>28</v>
      </c>
      <c r="F5" s="5" t="s">
        <v>63</v>
      </c>
      <c r="G5" s="5" t="s">
        <v>64</v>
      </c>
      <c r="H5" s="5" t="s">
        <v>65</v>
      </c>
      <c r="I5" s="5" t="s">
        <v>66</v>
      </c>
      <c r="J5" s="14" t="s">
        <v>28</v>
      </c>
      <c r="K5" s="5" t="s">
        <v>67</v>
      </c>
    </row>
    <row r="6" customFormat="false" ht="23.85" hidden="false" customHeight="false" outlineLevel="0" collapsed="false">
      <c r="A6" s="5" t="s">
        <v>8</v>
      </c>
      <c r="B6" s="6" t="n">
        <v>5</v>
      </c>
      <c r="C6" s="5" t="s">
        <v>68</v>
      </c>
      <c r="D6" s="6" t="s">
        <v>47</v>
      </c>
      <c r="E6" s="14" t="s">
        <v>28</v>
      </c>
      <c r="F6" s="5" t="s">
        <v>53</v>
      </c>
      <c r="G6" s="5" t="s">
        <v>69</v>
      </c>
      <c r="H6" s="5"/>
      <c r="I6" s="5" t="s">
        <v>70</v>
      </c>
      <c r="J6" s="14" t="s">
        <v>28</v>
      </c>
      <c r="K6" s="5" t="s">
        <v>71</v>
      </c>
    </row>
    <row r="7" customFormat="false" ht="35.05" hidden="false" customHeight="false" outlineLevel="0" collapsed="false">
      <c r="A7" s="5" t="s">
        <v>8</v>
      </c>
      <c r="B7" s="6" t="n">
        <v>6</v>
      </c>
      <c r="C7" s="5" t="s">
        <v>72</v>
      </c>
      <c r="D7" s="6" t="s">
        <v>47</v>
      </c>
      <c r="E7" s="14" t="s">
        <v>28</v>
      </c>
      <c r="F7" s="5" t="s">
        <v>58</v>
      </c>
      <c r="G7" s="5" t="s">
        <v>73</v>
      </c>
      <c r="H7" s="5"/>
      <c r="I7" s="5" t="s">
        <v>66</v>
      </c>
      <c r="J7" s="14" t="s">
        <v>28</v>
      </c>
      <c r="K7" s="5" t="s">
        <v>74</v>
      </c>
    </row>
    <row r="8" customFormat="false" ht="35.05" hidden="false" customHeight="false" outlineLevel="0" collapsed="false">
      <c r="A8" s="5" t="s">
        <v>8</v>
      </c>
      <c r="B8" s="6" t="n">
        <v>7</v>
      </c>
      <c r="C8" s="5" t="s">
        <v>75</v>
      </c>
      <c r="D8" s="6" t="s">
        <v>47</v>
      </c>
      <c r="E8" s="15" t="s">
        <v>30</v>
      </c>
      <c r="F8" s="5" t="s">
        <v>48</v>
      </c>
      <c r="G8" s="5" t="s">
        <v>76</v>
      </c>
      <c r="H8" s="5"/>
      <c r="I8" s="5" t="s">
        <v>55</v>
      </c>
      <c r="J8" s="15" t="s">
        <v>30</v>
      </c>
      <c r="K8" s="5" t="s">
        <v>77</v>
      </c>
    </row>
    <row r="9" customFormat="false" ht="35.05" hidden="false" customHeight="false" outlineLevel="0" collapsed="false">
      <c r="A9" s="5" t="s">
        <v>8</v>
      </c>
      <c r="B9" s="6" t="n">
        <v>8</v>
      </c>
      <c r="C9" s="5" t="s">
        <v>78</v>
      </c>
      <c r="D9" s="6" t="s">
        <v>47</v>
      </c>
      <c r="E9" s="15" t="s">
        <v>30</v>
      </c>
      <c r="F9" s="5" t="s">
        <v>63</v>
      </c>
      <c r="G9" s="5" t="s">
        <v>79</v>
      </c>
      <c r="H9" s="5"/>
      <c r="I9" s="5" t="s">
        <v>66</v>
      </c>
      <c r="J9" s="15" t="s">
        <v>30</v>
      </c>
      <c r="K9" s="5" t="s">
        <v>80</v>
      </c>
    </row>
    <row r="10" customFormat="false" ht="46.25" hidden="false" customHeight="false" outlineLevel="0" collapsed="false">
      <c r="A10" s="5" t="s">
        <v>8</v>
      </c>
      <c r="B10" s="6" t="n">
        <v>9</v>
      </c>
      <c r="C10" s="5" t="s">
        <v>81</v>
      </c>
      <c r="D10" s="6" t="s">
        <v>47</v>
      </c>
      <c r="E10" s="14" t="s">
        <v>28</v>
      </c>
      <c r="F10" s="5" t="s">
        <v>63</v>
      </c>
      <c r="G10" s="5" t="s">
        <v>82</v>
      </c>
      <c r="H10" s="5"/>
      <c r="I10" s="5" t="s">
        <v>83</v>
      </c>
      <c r="J10" s="14" t="s">
        <v>28</v>
      </c>
      <c r="K10" s="5" t="s">
        <v>84</v>
      </c>
    </row>
    <row r="11" customFormat="false" ht="23.85" hidden="false" customHeight="false" outlineLevel="0" collapsed="false">
      <c r="A11" s="5" t="s">
        <v>8</v>
      </c>
      <c r="B11" s="6" t="n">
        <v>10</v>
      </c>
      <c r="C11" s="5" t="s">
        <v>85</v>
      </c>
      <c r="D11" s="6" t="s">
        <v>47</v>
      </c>
      <c r="E11" s="14" t="s">
        <v>28</v>
      </c>
      <c r="F11" s="5" t="s">
        <v>48</v>
      </c>
      <c r="G11" s="5" t="s">
        <v>86</v>
      </c>
      <c r="H11" s="5"/>
      <c r="I11" s="5" t="s">
        <v>87</v>
      </c>
      <c r="J11" s="14" t="s">
        <v>28</v>
      </c>
      <c r="K11" s="5" t="s">
        <v>88</v>
      </c>
    </row>
    <row r="12" customFormat="false" ht="35.05" hidden="false" customHeight="false" outlineLevel="0" collapsed="false">
      <c r="A12" s="5" t="s">
        <v>8</v>
      </c>
      <c r="B12" s="6" t="n">
        <v>11</v>
      </c>
      <c r="C12" s="5" t="s">
        <v>89</v>
      </c>
      <c r="D12" s="6" t="s">
        <v>47</v>
      </c>
      <c r="E12" s="15" t="s">
        <v>30</v>
      </c>
      <c r="F12" s="5" t="s">
        <v>58</v>
      </c>
      <c r="G12" s="5" t="s">
        <v>90</v>
      </c>
      <c r="H12" s="5"/>
      <c r="I12" s="5" t="s">
        <v>91</v>
      </c>
      <c r="J12" s="15" t="s">
        <v>30</v>
      </c>
      <c r="K12" s="5" t="s">
        <v>92</v>
      </c>
    </row>
    <row r="13" customFormat="false" ht="35.05" hidden="false" customHeight="false" outlineLevel="0" collapsed="false">
      <c r="A13" s="5" t="s">
        <v>13</v>
      </c>
      <c r="B13" s="6" t="n">
        <v>1</v>
      </c>
      <c r="C13" s="5" t="s">
        <v>93</v>
      </c>
      <c r="D13" s="6" t="s">
        <v>47</v>
      </c>
      <c r="E13" s="15" t="s">
        <v>30</v>
      </c>
      <c r="F13" s="5" t="s">
        <v>94</v>
      </c>
      <c r="G13" s="5" t="s">
        <v>95</v>
      </c>
      <c r="H13" s="5"/>
      <c r="I13" s="5" t="s">
        <v>96</v>
      </c>
      <c r="J13" s="14" t="s">
        <v>28</v>
      </c>
      <c r="K13" s="5" t="s">
        <v>97</v>
      </c>
    </row>
    <row r="14" customFormat="false" ht="46.25" hidden="false" customHeight="false" outlineLevel="0" collapsed="false">
      <c r="A14" s="5" t="s">
        <v>13</v>
      </c>
      <c r="B14" s="6" t="n">
        <v>2</v>
      </c>
      <c r="C14" s="5" t="s">
        <v>98</v>
      </c>
      <c r="D14" s="6" t="s">
        <v>47</v>
      </c>
      <c r="E14" s="15" t="s">
        <v>30</v>
      </c>
      <c r="F14" s="5" t="s">
        <v>99</v>
      </c>
      <c r="G14" s="5" t="s">
        <v>100</v>
      </c>
      <c r="H14" s="5"/>
      <c r="I14" s="5" t="s">
        <v>101</v>
      </c>
      <c r="J14" s="15" t="s">
        <v>102</v>
      </c>
      <c r="K14" s="5" t="s">
        <v>103</v>
      </c>
    </row>
    <row r="15" customFormat="false" ht="35.05" hidden="false" customHeight="false" outlineLevel="0" collapsed="false">
      <c r="A15" s="5" t="s">
        <v>13</v>
      </c>
      <c r="B15" s="6" t="n">
        <v>3</v>
      </c>
      <c r="C15" s="5" t="s">
        <v>104</v>
      </c>
      <c r="D15" s="6" t="s">
        <v>47</v>
      </c>
      <c r="E15" s="14" t="s">
        <v>28</v>
      </c>
      <c r="F15" s="5" t="s">
        <v>105</v>
      </c>
      <c r="G15" s="5" t="s">
        <v>106</v>
      </c>
      <c r="H15" s="5"/>
      <c r="I15" s="5" t="s">
        <v>104</v>
      </c>
      <c r="J15" s="14" t="s">
        <v>107</v>
      </c>
      <c r="K15" s="5" t="s">
        <v>108</v>
      </c>
    </row>
    <row r="16" customFormat="false" ht="35.05" hidden="false" customHeight="false" outlineLevel="0" collapsed="false">
      <c r="A16" s="5" t="s">
        <v>13</v>
      </c>
      <c r="B16" s="6" t="n">
        <v>4</v>
      </c>
      <c r="C16" s="5" t="s">
        <v>109</v>
      </c>
      <c r="D16" s="6" t="s">
        <v>47</v>
      </c>
      <c r="E16" s="15" t="s">
        <v>30</v>
      </c>
      <c r="F16" s="5" t="s">
        <v>99</v>
      </c>
      <c r="G16" s="5" t="s">
        <v>110</v>
      </c>
      <c r="H16" s="5"/>
      <c r="I16" s="5" t="s">
        <v>111</v>
      </c>
      <c r="J16" s="15" t="s">
        <v>102</v>
      </c>
      <c r="K16" s="5" t="s">
        <v>112</v>
      </c>
    </row>
    <row r="17" customFormat="false" ht="35.05" hidden="false" customHeight="false" outlineLevel="0" collapsed="false">
      <c r="A17" s="5" t="s">
        <v>13</v>
      </c>
      <c r="B17" s="6" t="n">
        <v>5</v>
      </c>
      <c r="C17" s="5" t="s">
        <v>113</v>
      </c>
      <c r="D17" s="6" t="s">
        <v>47</v>
      </c>
      <c r="E17" s="15" t="s">
        <v>30</v>
      </c>
      <c r="F17" s="5" t="s">
        <v>105</v>
      </c>
      <c r="G17" s="5" t="s">
        <v>114</v>
      </c>
      <c r="H17" s="5"/>
      <c r="I17" s="5" t="s">
        <v>115</v>
      </c>
      <c r="J17" s="15" t="s">
        <v>30</v>
      </c>
      <c r="K17" s="5" t="s">
        <v>116</v>
      </c>
    </row>
    <row r="18" customFormat="false" ht="35.05" hidden="false" customHeight="false" outlineLevel="0" collapsed="false">
      <c r="A18" s="5" t="s">
        <v>13</v>
      </c>
      <c r="B18" s="6" t="n">
        <v>6</v>
      </c>
      <c r="C18" s="5" t="s">
        <v>66</v>
      </c>
      <c r="D18" s="6" t="s">
        <v>47</v>
      </c>
      <c r="E18" s="14" t="s">
        <v>28</v>
      </c>
      <c r="F18" s="5" t="s">
        <v>99</v>
      </c>
      <c r="G18" s="5" t="s">
        <v>117</v>
      </c>
      <c r="H18" s="5"/>
      <c r="I18" s="5" t="s">
        <v>66</v>
      </c>
      <c r="J18" s="14" t="s">
        <v>28</v>
      </c>
      <c r="K18" s="5" t="s">
        <v>118</v>
      </c>
    </row>
    <row r="19" customFormat="false" ht="35.05" hidden="false" customHeight="false" outlineLevel="0" collapsed="false">
      <c r="A19" s="5" t="s">
        <v>13</v>
      </c>
      <c r="B19" s="6" t="n">
        <v>7</v>
      </c>
      <c r="C19" s="5" t="s">
        <v>119</v>
      </c>
      <c r="D19" s="6" t="s">
        <v>47</v>
      </c>
      <c r="E19" s="16" t="s">
        <v>120</v>
      </c>
      <c r="F19" s="5" t="s">
        <v>99</v>
      </c>
      <c r="G19" s="5" t="s">
        <v>121</v>
      </c>
      <c r="H19" s="5"/>
      <c r="I19" s="5" t="s">
        <v>122</v>
      </c>
      <c r="J19" s="15" t="s">
        <v>102</v>
      </c>
      <c r="K19" s="5" t="s">
        <v>123</v>
      </c>
    </row>
    <row r="20" customFormat="false" ht="35.05" hidden="false" customHeight="false" outlineLevel="0" collapsed="false">
      <c r="A20" s="5" t="s">
        <v>13</v>
      </c>
      <c r="B20" s="6" t="n">
        <v>8</v>
      </c>
      <c r="C20" s="5" t="s">
        <v>55</v>
      </c>
      <c r="D20" s="6" t="s">
        <v>124</v>
      </c>
      <c r="E20" s="14" t="s">
        <v>28</v>
      </c>
      <c r="F20" s="5" t="s">
        <v>99</v>
      </c>
      <c r="G20" s="5" t="s">
        <v>125</v>
      </c>
      <c r="H20" s="5"/>
      <c r="I20" s="5" t="s">
        <v>55</v>
      </c>
      <c r="J20" s="14" t="s">
        <v>28</v>
      </c>
      <c r="K20" s="5" t="s">
        <v>126</v>
      </c>
    </row>
    <row r="21" customFormat="false" ht="23.85" hidden="false" customHeight="false" outlineLevel="0" collapsed="false">
      <c r="A21" s="5" t="s">
        <v>13</v>
      </c>
      <c r="B21" s="6" t="n">
        <v>9</v>
      </c>
      <c r="C21" s="5" t="s">
        <v>127</v>
      </c>
      <c r="D21" s="6" t="s">
        <v>124</v>
      </c>
      <c r="E21" s="15" t="s">
        <v>30</v>
      </c>
      <c r="F21" s="5" t="s">
        <v>105</v>
      </c>
      <c r="G21" s="5" t="s">
        <v>128</v>
      </c>
      <c r="H21" s="5"/>
      <c r="I21" s="5" t="s">
        <v>129</v>
      </c>
      <c r="J21" s="15" t="s">
        <v>30</v>
      </c>
      <c r="K21" s="5" t="s">
        <v>130</v>
      </c>
    </row>
    <row r="22" customFormat="false" ht="23.85" hidden="false" customHeight="false" outlineLevel="0" collapsed="false">
      <c r="A22" s="5" t="s">
        <v>13</v>
      </c>
      <c r="B22" s="6" t="n">
        <v>10</v>
      </c>
      <c r="C22" s="5" t="s">
        <v>131</v>
      </c>
      <c r="D22" s="6" t="s">
        <v>124</v>
      </c>
      <c r="E22" s="15" t="s">
        <v>30</v>
      </c>
      <c r="F22" s="5" t="s">
        <v>99</v>
      </c>
      <c r="G22" s="5" t="s">
        <v>132</v>
      </c>
      <c r="H22" s="5"/>
      <c r="I22" s="5" t="s">
        <v>133</v>
      </c>
      <c r="J22" s="14" t="s">
        <v>28</v>
      </c>
      <c r="K22" s="5" t="s">
        <v>134</v>
      </c>
    </row>
    <row r="23" customFormat="false" ht="23.85" hidden="false" customHeight="false" outlineLevel="0" collapsed="false">
      <c r="A23" s="5" t="s">
        <v>13</v>
      </c>
      <c r="B23" s="6" t="n">
        <v>11</v>
      </c>
      <c r="C23" s="5" t="s">
        <v>135</v>
      </c>
      <c r="D23" s="6" t="s">
        <v>124</v>
      </c>
      <c r="E23" s="15" t="s">
        <v>30</v>
      </c>
      <c r="F23" s="5" t="s">
        <v>105</v>
      </c>
      <c r="G23" s="5" t="s">
        <v>136</v>
      </c>
      <c r="H23" s="5"/>
      <c r="I23" s="5" t="s">
        <v>137</v>
      </c>
      <c r="J23" s="15" t="s">
        <v>30</v>
      </c>
      <c r="K23" s="5" t="s">
        <v>138</v>
      </c>
    </row>
    <row r="24" customFormat="false" ht="35.05" hidden="false" customHeight="false" outlineLevel="0" collapsed="false">
      <c r="A24" s="5" t="s">
        <v>13</v>
      </c>
      <c r="B24" s="6" t="n">
        <v>12</v>
      </c>
      <c r="C24" s="5" t="s">
        <v>139</v>
      </c>
      <c r="D24" s="6" t="s">
        <v>124</v>
      </c>
      <c r="E24" s="14" t="s">
        <v>28</v>
      </c>
      <c r="F24" s="5" t="s">
        <v>94</v>
      </c>
      <c r="G24" s="5" t="s">
        <v>140</v>
      </c>
      <c r="H24" s="5" t="s">
        <v>141</v>
      </c>
      <c r="I24" s="5" t="s">
        <v>142</v>
      </c>
      <c r="J24" s="16" t="s">
        <v>120</v>
      </c>
      <c r="K24" s="5" t="s">
        <v>143</v>
      </c>
    </row>
    <row r="25" customFormat="false" ht="35.05" hidden="false" customHeight="false" outlineLevel="0" collapsed="false">
      <c r="A25" s="5" t="s">
        <v>13</v>
      </c>
      <c r="B25" s="6" t="n">
        <v>13</v>
      </c>
      <c r="C25" s="5" t="s">
        <v>144</v>
      </c>
      <c r="D25" s="6" t="s">
        <v>124</v>
      </c>
      <c r="E25" s="14" t="s">
        <v>28</v>
      </c>
      <c r="F25" s="5" t="s">
        <v>99</v>
      </c>
      <c r="G25" s="5" t="s">
        <v>145</v>
      </c>
      <c r="H25" s="5"/>
      <c r="I25" s="5" t="s">
        <v>146</v>
      </c>
      <c r="J25" s="15" t="s">
        <v>102</v>
      </c>
      <c r="K25" s="5" t="s">
        <v>147</v>
      </c>
    </row>
    <row r="26" customFormat="false" ht="35.05" hidden="false" customHeight="false" outlineLevel="0" collapsed="false">
      <c r="A26" s="5" t="s">
        <v>13</v>
      </c>
      <c r="B26" s="6" t="n">
        <v>14</v>
      </c>
      <c r="C26" s="5" t="s">
        <v>148</v>
      </c>
      <c r="D26" s="6" t="s">
        <v>124</v>
      </c>
      <c r="E26" s="14" t="s">
        <v>28</v>
      </c>
      <c r="F26" s="5" t="s">
        <v>99</v>
      </c>
      <c r="G26" s="5" t="s">
        <v>149</v>
      </c>
      <c r="H26" s="5"/>
      <c r="I26" s="5" t="s">
        <v>150</v>
      </c>
      <c r="J26" s="15" t="s">
        <v>102</v>
      </c>
      <c r="K26" s="5" t="s">
        <v>151</v>
      </c>
    </row>
    <row r="27" customFormat="false" ht="35.05" hidden="false" customHeight="false" outlineLevel="0" collapsed="false">
      <c r="A27" s="5" t="s">
        <v>13</v>
      </c>
      <c r="B27" s="6" t="n">
        <v>15</v>
      </c>
      <c r="C27" s="5" t="s">
        <v>152</v>
      </c>
      <c r="D27" s="6" t="s">
        <v>153</v>
      </c>
      <c r="E27" s="14" t="s">
        <v>28</v>
      </c>
      <c r="F27" s="5" t="s">
        <v>94</v>
      </c>
      <c r="G27" s="5" t="s">
        <v>154</v>
      </c>
      <c r="H27" s="5"/>
      <c r="I27" s="5" t="s">
        <v>155</v>
      </c>
      <c r="J27" s="14" t="s">
        <v>107</v>
      </c>
      <c r="K27" s="5" t="s">
        <v>156</v>
      </c>
    </row>
    <row r="28" customFormat="false" ht="35.05" hidden="false" customHeight="false" outlineLevel="0" collapsed="false">
      <c r="A28" s="5" t="s">
        <v>13</v>
      </c>
      <c r="B28" s="6" t="n">
        <v>16</v>
      </c>
      <c r="C28" s="5" t="s">
        <v>157</v>
      </c>
      <c r="D28" s="6" t="s">
        <v>158</v>
      </c>
      <c r="E28" s="14" t="s">
        <v>28</v>
      </c>
      <c r="F28" s="5" t="s">
        <v>99</v>
      </c>
      <c r="G28" s="5" t="s">
        <v>159</v>
      </c>
      <c r="H28" s="5"/>
      <c r="I28" s="5" t="s">
        <v>160</v>
      </c>
      <c r="J28" s="14" t="s">
        <v>28</v>
      </c>
      <c r="K28" s="5" t="s">
        <v>161</v>
      </c>
    </row>
    <row r="29" customFormat="false" ht="57.45" hidden="false" customHeight="false" outlineLevel="0" collapsed="false">
      <c r="A29" s="5" t="s">
        <v>17</v>
      </c>
      <c r="B29" s="6" t="n">
        <v>1</v>
      </c>
      <c r="C29" s="5" t="s">
        <v>162</v>
      </c>
      <c r="D29" s="6" t="s">
        <v>47</v>
      </c>
      <c r="E29" s="14" t="s">
        <v>28</v>
      </c>
      <c r="F29" s="5" t="s">
        <v>163</v>
      </c>
      <c r="G29" s="5" t="s">
        <v>164</v>
      </c>
      <c r="H29" s="5"/>
      <c r="I29" s="5" t="s">
        <v>165</v>
      </c>
      <c r="J29" s="14" t="s">
        <v>28</v>
      </c>
      <c r="K29" s="5" t="s">
        <v>166</v>
      </c>
    </row>
    <row r="30" customFormat="false" ht="46.25" hidden="false" customHeight="false" outlineLevel="0" collapsed="false">
      <c r="A30" s="5" t="s">
        <v>17</v>
      </c>
      <c r="B30" s="6" t="n">
        <v>2</v>
      </c>
      <c r="C30" s="5" t="s">
        <v>167</v>
      </c>
      <c r="D30" s="6" t="s">
        <v>47</v>
      </c>
      <c r="E30" s="15" t="s">
        <v>30</v>
      </c>
      <c r="F30" s="5" t="s">
        <v>163</v>
      </c>
      <c r="G30" s="5" t="s">
        <v>164</v>
      </c>
      <c r="H30" s="5"/>
      <c r="I30" s="5" t="s">
        <v>168</v>
      </c>
      <c r="J30" s="16" t="s">
        <v>120</v>
      </c>
      <c r="K30" s="5" t="s">
        <v>169</v>
      </c>
    </row>
    <row r="31" customFormat="false" ht="35.05" hidden="false" customHeight="false" outlineLevel="0" collapsed="false">
      <c r="A31" s="5" t="s">
        <v>17</v>
      </c>
      <c r="B31" s="6" t="n">
        <v>3</v>
      </c>
      <c r="C31" s="5" t="s">
        <v>170</v>
      </c>
      <c r="D31" s="6" t="s">
        <v>158</v>
      </c>
      <c r="E31" s="14" t="s">
        <v>28</v>
      </c>
      <c r="F31" s="5" t="s">
        <v>163</v>
      </c>
      <c r="G31" s="5" t="s">
        <v>171</v>
      </c>
      <c r="H31" s="5"/>
      <c r="I31" s="5" t="s">
        <v>172</v>
      </c>
      <c r="J31" s="14" t="s">
        <v>28</v>
      </c>
      <c r="K31" s="5" t="s">
        <v>173</v>
      </c>
    </row>
    <row r="32" customFormat="false" ht="46.25" hidden="false" customHeight="false" outlineLevel="0" collapsed="false">
      <c r="A32" s="5" t="s">
        <v>17</v>
      </c>
      <c r="B32" s="6" t="n">
        <v>4</v>
      </c>
      <c r="C32" s="5" t="s">
        <v>170</v>
      </c>
      <c r="D32" s="6" t="s">
        <v>158</v>
      </c>
      <c r="E32" s="14" t="s">
        <v>28</v>
      </c>
      <c r="F32" s="5" t="s">
        <v>163</v>
      </c>
      <c r="G32" s="5" t="s">
        <v>171</v>
      </c>
      <c r="H32" s="5"/>
      <c r="I32" s="5" t="s">
        <v>174</v>
      </c>
      <c r="J32" s="14" t="s">
        <v>28</v>
      </c>
      <c r="K32" s="5" t="s">
        <v>175</v>
      </c>
    </row>
    <row r="33" customFormat="false" ht="35.05" hidden="false" customHeight="false" outlineLevel="0" collapsed="false">
      <c r="A33" s="5" t="s">
        <v>17</v>
      </c>
      <c r="B33" s="6" t="n">
        <v>5</v>
      </c>
      <c r="C33" s="5" t="s">
        <v>176</v>
      </c>
      <c r="D33" s="6" t="s">
        <v>158</v>
      </c>
      <c r="E33" s="15" t="s">
        <v>30</v>
      </c>
      <c r="F33" s="5" t="s">
        <v>163</v>
      </c>
      <c r="G33" s="5" t="s">
        <v>171</v>
      </c>
      <c r="H33" s="5"/>
      <c r="I33" s="5" t="s">
        <v>168</v>
      </c>
      <c r="J33" s="15" t="s">
        <v>102</v>
      </c>
      <c r="K33" s="5" t="s">
        <v>177</v>
      </c>
    </row>
    <row r="34" customFormat="false" ht="79.85" hidden="false" customHeight="false" outlineLevel="0" collapsed="false">
      <c r="A34" s="5" t="s">
        <v>17</v>
      </c>
      <c r="B34" s="6" t="n">
        <v>6</v>
      </c>
      <c r="C34" s="5" t="s">
        <v>162</v>
      </c>
      <c r="D34" s="6" t="s">
        <v>47</v>
      </c>
      <c r="E34" s="14" t="s">
        <v>28</v>
      </c>
      <c r="F34" s="5" t="s">
        <v>178</v>
      </c>
      <c r="G34" s="5" t="s">
        <v>164</v>
      </c>
      <c r="H34" s="5"/>
      <c r="I34" s="5" t="s">
        <v>179</v>
      </c>
      <c r="J34" s="14" t="s">
        <v>28</v>
      </c>
      <c r="K34" s="5" t="s">
        <v>180</v>
      </c>
    </row>
    <row r="35" customFormat="false" ht="46.25" hidden="false" customHeight="false" outlineLevel="0" collapsed="false">
      <c r="A35" s="5" t="s">
        <v>17</v>
      </c>
      <c r="B35" s="6" t="n">
        <v>7</v>
      </c>
      <c r="C35" s="5" t="s">
        <v>170</v>
      </c>
      <c r="D35" s="6" t="s">
        <v>158</v>
      </c>
      <c r="E35" s="14" t="s">
        <v>28</v>
      </c>
      <c r="F35" s="5" t="s">
        <v>178</v>
      </c>
      <c r="G35" s="5" t="s">
        <v>171</v>
      </c>
      <c r="H35" s="5"/>
      <c r="I35" s="5" t="s">
        <v>181</v>
      </c>
      <c r="J35" s="15" t="s">
        <v>30</v>
      </c>
      <c r="K35" s="5" t="s">
        <v>182</v>
      </c>
    </row>
  </sheetData>
  <autoFilter ref="A1:K3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22"/>
    <col collapsed="false" customWidth="true" hidden="false" outlineLevel="0" max="4" min="4" style="0" width="13"/>
    <col collapsed="false" customWidth="true" hidden="false" outlineLevel="0" max="5" min="5" style="0" width="46"/>
  </cols>
  <sheetData>
    <row r="1" customFormat="false" ht="17.35" hidden="false" customHeight="false" outlineLevel="0" collapsed="false">
      <c r="A1" s="17" t="s">
        <v>183</v>
      </c>
      <c r="B1" s="17"/>
      <c r="C1" s="17"/>
      <c r="D1" s="17"/>
      <c r="E1" s="17"/>
    </row>
    <row r="3" customFormat="false" ht="15" hidden="false" customHeight="false" outlineLevel="0" collapsed="false">
      <c r="A3" s="3" t="s">
        <v>184</v>
      </c>
    </row>
    <row r="4" customFormat="false" ht="15" hidden="false" customHeight="true" outlineLevel="0" collapsed="false">
      <c r="A4" s="9" t="s">
        <v>185</v>
      </c>
      <c r="B4" s="9"/>
      <c r="C4" s="9"/>
      <c r="D4" s="9"/>
      <c r="E4" s="9"/>
    </row>
    <row r="5" customFormat="false" ht="23.85" hidden="false" customHeight="true" outlineLevel="0" collapsed="false">
      <c r="A5" s="9" t="s">
        <v>186</v>
      </c>
      <c r="B5" s="9"/>
      <c r="C5" s="9"/>
      <c r="D5" s="9"/>
      <c r="E5" s="9"/>
    </row>
    <row r="6" customFormat="false" ht="15" hidden="false" customHeight="true" outlineLevel="0" collapsed="false">
      <c r="A6" s="18" t="s">
        <v>187</v>
      </c>
      <c r="B6" s="18"/>
      <c r="C6" s="18"/>
      <c r="D6" s="18"/>
      <c r="E6" s="18"/>
    </row>
    <row r="7" customFormat="false" ht="15" hidden="false" customHeight="true" outlineLevel="0" collapsed="false">
      <c r="A7" s="9" t="s">
        <v>188</v>
      </c>
      <c r="B7" s="9"/>
      <c r="C7" s="9"/>
      <c r="D7" s="9"/>
      <c r="E7" s="9"/>
    </row>
    <row r="8" customFormat="false" ht="15" hidden="false" customHeight="true" outlineLevel="0" collapsed="false">
      <c r="A8" s="9" t="s">
        <v>189</v>
      </c>
      <c r="B8" s="9"/>
      <c r="C8" s="9"/>
      <c r="D8" s="9"/>
      <c r="E8" s="9"/>
    </row>
    <row r="9" customFormat="false" ht="15" hidden="false" customHeight="true" outlineLevel="0" collapsed="false">
      <c r="A9" s="9" t="s">
        <v>190</v>
      </c>
      <c r="B9" s="9"/>
      <c r="C9" s="9"/>
      <c r="D9" s="9"/>
      <c r="E9" s="9"/>
    </row>
    <row r="11" customFormat="false" ht="15" hidden="false" customHeight="false" outlineLevel="0" collapsed="false">
      <c r="A11" s="3" t="s">
        <v>191</v>
      </c>
    </row>
    <row r="12" customFormat="false" ht="15" hidden="false" customHeight="true" outlineLevel="0" collapsed="false">
      <c r="A12" s="9" t="s">
        <v>192</v>
      </c>
      <c r="B12" s="9"/>
      <c r="C12" s="9"/>
      <c r="D12" s="9"/>
      <c r="E12" s="9"/>
    </row>
    <row r="13" customFormat="false" ht="15" hidden="false" customHeight="false" outlineLevel="0" collapsed="false">
      <c r="A13" s="9"/>
      <c r="B13" s="9"/>
      <c r="C13" s="9"/>
      <c r="D13" s="9"/>
      <c r="E13" s="9"/>
    </row>
    <row r="14" customFormat="false" ht="15" hidden="false" customHeight="false" outlineLevel="0" collapsed="false">
      <c r="A14" s="9"/>
      <c r="B14" s="9"/>
      <c r="C14" s="9"/>
      <c r="D14" s="9"/>
      <c r="E14" s="9"/>
    </row>
    <row r="15" customFormat="false" ht="15" hidden="false" customHeight="true" outlineLevel="0" collapsed="false">
      <c r="A15" s="19" t="s">
        <v>193</v>
      </c>
      <c r="B15" s="19"/>
      <c r="C15" s="19"/>
      <c r="D15" s="19"/>
      <c r="E15" s="19"/>
    </row>
    <row r="16" customFormat="false" ht="15" hidden="false" customHeight="false" outlineLevel="0" collapsed="false">
      <c r="A16" s="19"/>
      <c r="B16" s="19"/>
      <c r="C16" s="19"/>
      <c r="D16" s="19"/>
      <c r="E16" s="19"/>
    </row>
    <row r="17" customFormat="false" ht="15" hidden="false" customHeight="false" outlineLevel="0" collapsed="false">
      <c r="A17" s="19"/>
      <c r="B17" s="19"/>
      <c r="C17" s="19"/>
      <c r="D17" s="19"/>
      <c r="E17" s="19"/>
    </row>
    <row r="38" customFormat="false" ht="15" hidden="false" customHeight="false" outlineLevel="0" collapsed="false">
      <c r="A38" s="3" t="s">
        <v>194</v>
      </c>
    </row>
    <row r="39" customFormat="false" ht="15" hidden="false" customHeight="true" outlineLevel="0" collapsed="false">
      <c r="A39" s="9" t="s">
        <v>195</v>
      </c>
      <c r="B39" s="9"/>
      <c r="C39" s="9"/>
      <c r="D39" s="9"/>
      <c r="E39" s="9"/>
    </row>
    <row r="40" customFormat="false" ht="30" hidden="false" customHeight="true" outlineLevel="0" collapsed="false">
      <c r="A40" s="9" t="s">
        <v>196</v>
      </c>
      <c r="B40" s="9"/>
      <c r="C40" s="9"/>
      <c r="D40" s="9"/>
      <c r="E40" s="9"/>
    </row>
    <row r="41" customFormat="false" ht="30" hidden="false" customHeight="true" outlineLevel="0" collapsed="false">
      <c r="A41" s="9" t="s">
        <v>197</v>
      </c>
      <c r="B41" s="9"/>
      <c r="C41" s="9"/>
      <c r="D41" s="9"/>
      <c r="E41" s="9"/>
    </row>
    <row r="42" customFormat="false" ht="60" hidden="false" customHeight="true" outlineLevel="0" collapsed="false">
      <c r="A42" s="9" t="s">
        <v>198</v>
      </c>
      <c r="B42" s="9"/>
      <c r="C42" s="9"/>
      <c r="D42" s="9"/>
      <c r="E42" s="9"/>
    </row>
    <row r="43" customFormat="false" ht="45" hidden="false" customHeight="true" outlineLevel="0" collapsed="false">
      <c r="A43" s="18" t="s">
        <v>199</v>
      </c>
      <c r="B43" s="18"/>
      <c r="C43" s="18"/>
      <c r="D43" s="18"/>
      <c r="E43" s="18"/>
    </row>
    <row r="45" customFormat="false" ht="15" hidden="false" customHeight="false" outlineLevel="0" collapsed="false">
      <c r="A45" s="3" t="s">
        <v>200</v>
      </c>
    </row>
    <row r="47" customFormat="false" ht="15" hidden="false" customHeight="false" outlineLevel="0" collapsed="false">
      <c r="A47" s="3" t="s">
        <v>201</v>
      </c>
    </row>
    <row r="48" customFormat="false" ht="15" hidden="false" customHeight="false" outlineLevel="0" collapsed="false">
      <c r="A48" s="4" t="s">
        <v>36</v>
      </c>
      <c r="B48" s="4" t="s">
        <v>202</v>
      </c>
      <c r="C48" s="4" t="s">
        <v>203</v>
      </c>
      <c r="D48" s="4" t="s">
        <v>204</v>
      </c>
      <c r="E48" s="4" t="s">
        <v>205</v>
      </c>
    </row>
    <row r="49" customFormat="false" ht="23.85" hidden="false" customHeight="false" outlineLevel="0" collapsed="false">
      <c r="A49" s="6" t="n">
        <v>1</v>
      </c>
      <c r="B49" s="5" t="s">
        <v>46</v>
      </c>
      <c r="C49" s="5" t="s">
        <v>50</v>
      </c>
      <c r="D49" s="20" t="s">
        <v>28</v>
      </c>
      <c r="E49" s="5" t="s">
        <v>51</v>
      </c>
    </row>
    <row r="50" customFormat="false" ht="35.05" hidden="false" customHeight="false" outlineLevel="0" collapsed="false">
      <c r="A50" s="6" t="n">
        <v>2</v>
      </c>
      <c r="B50" s="5" t="s">
        <v>52</v>
      </c>
      <c r="C50" s="5" t="s">
        <v>55</v>
      </c>
      <c r="D50" s="21" t="s">
        <v>30</v>
      </c>
      <c r="E50" s="5" t="s">
        <v>56</v>
      </c>
    </row>
    <row r="51" customFormat="false" ht="35.05" hidden="false" customHeight="false" outlineLevel="0" collapsed="false">
      <c r="A51" s="6" t="n">
        <v>3</v>
      </c>
      <c r="B51" s="5" t="s">
        <v>57</v>
      </c>
      <c r="C51" s="5" t="s">
        <v>60</v>
      </c>
      <c r="D51" s="21" t="s">
        <v>30</v>
      </c>
      <c r="E51" s="5" t="s">
        <v>61</v>
      </c>
    </row>
    <row r="52" customFormat="false" ht="23.85" hidden="false" customHeight="false" outlineLevel="0" collapsed="false">
      <c r="A52" s="6" t="n">
        <v>4</v>
      </c>
      <c r="B52" s="5" t="s">
        <v>62</v>
      </c>
      <c r="C52" s="5" t="s">
        <v>66</v>
      </c>
      <c r="D52" s="20" t="s">
        <v>28</v>
      </c>
      <c r="E52" s="5" t="s">
        <v>67</v>
      </c>
    </row>
    <row r="53" customFormat="false" ht="23.85" hidden="false" customHeight="false" outlineLevel="0" collapsed="false">
      <c r="A53" s="6" t="n">
        <v>5</v>
      </c>
      <c r="B53" s="5" t="s">
        <v>68</v>
      </c>
      <c r="C53" s="5" t="s">
        <v>70</v>
      </c>
      <c r="D53" s="20" t="s">
        <v>28</v>
      </c>
      <c r="E53" s="5" t="s">
        <v>71</v>
      </c>
    </row>
    <row r="54" customFormat="false" ht="35.05" hidden="false" customHeight="false" outlineLevel="0" collapsed="false">
      <c r="A54" s="6" t="n">
        <v>6</v>
      </c>
      <c r="B54" s="5" t="s">
        <v>72</v>
      </c>
      <c r="C54" s="5" t="s">
        <v>66</v>
      </c>
      <c r="D54" s="20" t="s">
        <v>28</v>
      </c>
      <c r="E54" s="5" t="s">
        <v>74</v>
      </c>
    </row>
    <row r="55" customFormat="false" ht="35.05" hidden="false" customHeight="false" outlineLevel="0" collapsed="false">
      <c r="A55" s="6" t="n">
        <v>7</v>
      </c>
      <c r="B55" s="5" t="s">
        <v>75</v>
      </c>
      <c r="C55" s="5" t="s">
        <v>55</v>
      </c>
      <c r="D55" s="21" t="s">
        <v>30</v>
      </c>
      <c r="E55" s="5" t="s">
        <v>77</v>
      </c>
    </row>
    <row r="56" customFormat="false" ht="35.05" hidden="false" customHeight="false" outlineLevel="0" collapsed="false">
      <c r="A56" s="6" t="n">
        <v>8</v>
      </c>
      <c r="B56" s="5" t="s">
        <v>78</v>
      </c>
      <c r="C56" s="5" t="s">
        <v>66</v>
      </c>
      <c r="D56" s="21" t="s">
        <v>30</v>
      </c>
      <c r="E56" s="5" t="s">
        <v>80</v>
      </c>
    </row>
    <row r="57" customFormat="false" ht="23.85" hidden="false" customHeight="false" outlineLevel="0" collapsed="false">
      <c r="A57" s="6" t="n">
        <v>9</v>
      </c>
      <c r="B57" s="5" t="s">
        <v>81</v>
      </c>
      <c r="C57" s="5" t="s">
        <v>83</v>
      </c>
      <c r="D57" s="20" t="s">
        <v>28</v>
      </c>
      <c r="E57" s="5" t="s">
        <v>84</v>
      </c>
    </row>
    <row r="58" customFormat="false" ht="23.85" hidden="false" customHeight="false" outlineLevel="0" collapsed="false">
      <c r="A58" s="6" t="n">
        <v>10</v>
      </c>
      <c r="B58" s="5" t="s">
        <v>85</v>
      </c>
      <c r="C58" s="5" t="s">
        <v>87</v>
      </c>
      <c r="D58" s="20" t="s">
        <v>28</v>
      </c>
      <c r="E58" s="5" t="s">
        <v>88</v>
      </c>
    </row>
    <row r="59" customFormat="false" ht="35.05" hidden="false" customHeight="false" outlineLevel="0" collapsed="false">
      <c r="A59" s="6" t="n">
        <v>11</v>
      </c>
      <c r="B59" s="5" t="s">
        <v>89</v>
      </c>
      <c r="C59" s="5" t="s">
        <v>91</v>
      </c>
      <c r="D59" s="21" t="s">
        <v>30</v>
      </c>
      <c r="E59" s="5" t="s">
        <v>92</v>
      </c>
    </row>
    <row r="61" customFormat="false" ht="15" hidden="false" customHeight="false" outlineLevel="0" collapsed="false">
      <c r="A61" s="3" t="s">
        <v>206</v>
      </c>
    </row>
    <row r="62" customFormat="false" ht="15" hidden="false" customHeight="false" outlineLevel="0" collapsed="false">
      <c r="A62" s="4" t="s">
        <v>36</v>
      </c>
      <c r="B62" s="4" t="s">
        <v>202</v>
      </c>
      <c r="C62" s="4" t="s">
        <v>203</v>
      </c>
      <c r="D62" s="4" t="s">
        <v>204</v>
      </c>
      <c r="E62" s="4" t="s">
        <v>205</v>
      </c>
    </row>
    <row r="63" customFormat="false" ht="35.05" hidden="false" customHeight="false" outlineLevel="0" collapsed="false">
      <c r="A63" s="6" t="n">
        <v>1</v>
      </c>
      <c r="B63" s="5" t="s">
        <v>93</v>
      </c>
      <c r="C63" s="5" t="s">
        <v>96</v>
      </c>
      <c r="D63" s="20" t="s">
        <v>28</v>
      </c>
      <c r="E63" s="5" t="s">
        <v>97</v>
      </c>
    </row>
    <row r="64" customFormat="false" ht="46.25" hidden="false" customHeight="false" outlineLevel="0" collapsed="false">
      <c r="A64" s="6" t="n">
        <v>2</v>
      </c>
      <c r="B64" s="5" t="s">
        <v>98</v>
      </c>
      <c r="C64" s="5" t="s">
        <v>101</v>
      </c>
      <c r="D64" s="21" t="s">
        <v>102</v>
      </c>
      <c r="E64" s="5" t="s">
        <v>103</v>
      </c>
    </row>
    <row r="65" customFormat="false" ht="35.05" hidden="false" customHeight="false" outlineLevel="0" collapsed="false">
      <c r="A65" s="6" t="n">
        <v>3</v>
      </c>
      <c r="B65" s="5" t="s">
        <v>104</v>
      </c>
      <c r="C65" s="5" t="s">
        <v>104</v>
      </c>
      <c r="D65" s="20" t="s">
        <v>107</v>
      </c>
      <c r="E65" s="5" t="s">
        <v>108</v>
      </c>
    </row>
    <row r="66" customFormat="false" ht="35.05" hidden="false" customHeight="false" outlineLevel="0" collapsed="false">
      <c r="A66" s="6" t="n">
        <v>4</v>
      </c>
      <c r="B66" s="5" t="s">
        <v>109</v>
      </c>
      <c r="C66" s="5" t="s">
        <v>111</v>
      </c>
      <c r="D66" s="21" t="s">
        <v>102</v>
      </c>
      <c r="E66" s="5" t="s">
        <v>112</v>
      </c>
    </row>
    <row r="67" customFormat="false" ht="35.05" hidden="false" customHeight="false" outlineLevel="0" collapsed="false">
      <c r="A67" s="6" t="n">
        <v>5</v>
      </c>
      <c r="B67" s="5" t="s">
        <v>113</v>
      </c>
      <c r="C67" s="5" t="s">
        <v>115</v>
      </c>
      <c r="D67" s="21" t="s">
        <v>30</v>
      </c>
      <c r="E67" s="5" t="s">
        <v>116</v>
      </c>
    </row>
    <row r="68" customFormat="false" ht="23.85" hidden="false" customHeight="false" outlineLevel="0" collapsed="false">
      <c r="A68" s="6" t="n">
        <v>6</v>
      </c>
      <c r="B68" s="5" t="s">
        <v>66</v>
      </c>
      <c r="C68" s="5" t="s">
        <v>66</v>
      </c>
      <c r="D68" s="20" t="s">
        <v>28</v>
      </c>
      <c r="E68" s="5" t="s">
        <v>118</v>
      </c>
    </row>
    <row r="69" customFormat="false" ht="35.05" hidden="false" customHeight="false" outlineLevel="0" collapsed="false">
      <c r="A69" s="6" t="n">
        <v>7</v>
      </c>
      <c r="B69" s="5" t="s">
        <v>119</v>
      </c>
      <c r="C69" s="5" t="s">
        <v>122</v>
      </c>
      <c r="D69" s="21" t="s">
        <v>102</v>
      </c>
      <c r="E69" s="5" t="s">
        <v>123</v>
      </c>
    </row>
    <row r="70" customFormat="false" ht="35.05" hidden="false" customHeight="false" outlineLevel="0" collapsed="false">
      <c r="A70" s="6" t="n">
        <v>8</v>
      </c>
      <c r="B70" s="5" t="s">
        <v>55</v>
      </c>
      <c r="C70" s="5" t="s">
        <v>55</v>
      </c>
      <c r="D70" s="20" t="s">
        <v>28</v>
      </c>
      <c r="E70" s="5" t="s">
        <v>126</v>
      </c>
    </row>
    <row r="71" customFormat="false" ht="23.85" hidden="false" customHeight="false" outlineLevel="0" collapsed="false">
      <c r="A71" s="6" t="n">
        <v>9</v>
      </c>
      <c r="B71" s="5" t="s">
        <v>127</v>
      </c>
      <c r="C71" s="5" t="s">
        <v>129</v>
      </c>
      <c r="D71" s="21" t="s">
        <v>30</v>
      </c>
      <c r="E71" s="5" t="s">
        <v>130</v>
      </c>
    </row>
    <row r="72" customFormat="false" ht="23.85" hidden="false" customHeight="false" outlineLevel="0" collapsed="false">
      <c r="A72" s="6" t="n">
        <v>10</v>
      </c>
      <c r="B72" s="5" t="s">
        <v>131</v>
      </c>
      <c r="C72" s="5" t="s">
        <v>133</v>
      </c>
      <c r="D72" s="20" t="s">
        <v>28</v>
      </c>
      <c r="E72" s="5" t="s">
        <v>134</v>
      </c>
    </row>
    <row r="73" customFormat="false" ht="23.85" hidden="false" customHeight="false" outlineLevel="0" collapsed="false">
      <c r="A73" s="6" t="n">
        <v>11</v>
      </c>
      <c r="B73" s="5" t="s">
        <v>135</v>
      </c>
      <c r="C73" s="5" t="s">
        <v>137</v>
      </c>
      <c r="D73" s="21" t="s">
        <v>30</v>
      </c>
      <c r="E73" s="5" t="s">
        <v>138</v>
      </c>
    </row>
    <row r="74" customFormat="false" ht="23.85" hidden="false" customHeight="false" outlineLevel="0" collapsed="false">
      <c r="A74" s="6" t="n">
        <v>12</v>
      </c>
      <c r="B74" s="5" t="s">
        <v>139</v>
      </c>
      <c r="C74" s="5" t="s">
        <v>142</v>
      </c>
      <c r="D74" s="22" t="s">
        <v>120</v>
      </c>
      <c r="E74" s="5" t="s">
        <v>143</v>
      </c>
    </row>
    <row r="75" customFormat="false" ht="35.05" hidden="false" customHeight="false" outlineLevel="0" collapsed="false">
      <c r="A75" s="6" t="n">
        <v>13</v>
      </c>
      <c r="B75" s="5" t="s">
        <v>144</v>
      </c>
      <c r="C75" s="5" t="s">
        <v>146</v>
      </c>
      <c r="D75" s="21" t="s">
        <v>102</v>
      </c>
      <c r="E75" s="5" t="s">
        <v>147</v>
      </c>
    </row>
    <row r="76" customFormat="false" ht="35.05" hidden="false" customHeight="false" outlineLevel="0" collapsed="false">
      <c r="A76" s="6" t="n">
        <v>14</v>
      </c>
      <c r="B76" s="5" t="s">
        <v>148</v>
      </c>
      <c r="C76" s="5" t="s">
        <v>150</v>
      </c>
      <c r="D76" s="21" t="s">
        <v>102</v>
      </c>
      <c r="E76" s="5" t="s">
        <v>151</v>
      </c>
    </row>
    <row r="77" customFormat="false" ht="35.05" hidden="false" customHeight="false" outlineLevel="0" collapsed="false">
      <c r="A77" s="6" t="n">
        <v>15</v>
      </c>
      <c r="B77" s="5" t="s">
        <v>152</v>
      </c>
      <c r="C77" s="5" t="s">
        <v>155</v>
      </c>
      <c r="D77" s="20" t="s">
        <v>107</v>
      </c>
      <c r="E77" s="5" t="s">
        <v>156</v>
      </c>
    </row>
    <row r="78" customFormat="false" ht="35.05" hidden="false" customHeight="false" outlineLevel="0" collapsed="false">
      <c r="A78" s="6" t="n">
        <v>16</v>
      </c>
      <c r="B78" s="5" t="s">
        <v>157</v>
      </c>
      <c r="C78" s="5" t="s">
        <v>160</v>
      </c>
      <c r="D78" s="20" t="s">
        <v>28</v>
      </c>
      <c r="E78" s="5" t="s">
        <v>161</v>
      </c>
    </row>
    <row r="80" customFormat="false" ht="15" hidden="false" customHeight="false" outlineLevel="0" collapsed="false">
      <c r="A80" s="3" t="s">
        <v>207</v>
      </c>
    </row>
    <row r="81" customFormat="false" ht="15" hidden="false" customHeight="false" outlineLevel="0" collapsed="false">
      <c r="A81" s="4" t="s">
        <v>36</v>
      </c>
      <c r="B81" s="4" t="s">
        <v>208</v>
      </c>
      <c r="C81" s="4" t="s">
        <v>209</v>
      </c>
      <c r="D81" s="4" t="s">
        <v>210</v>
      </c>
      <c r="E81" s="4" t="s">
        <v>205</v>
      </c>
    </row>
    <row r="82" customFormat="false" ht="35.05" hidden="false" customHeight="false" outlineLevel="0" collapsed="false">
      <c r="A82" s="6" t="n">
        <v>1</v>
      </c>
      <c r="B82" s="5" t="s">
        <v>211</v>
      </c>
      <c r="C82" s="5" t="s">
        <v>165</v>
      </c>
      <c r="D82" s="20" t="s">
        <v>28</v>
      </c>
      <c r="E82" s="5" t="s">
        <v>212</v>
      </c>
    </row>
    <row r="83" customFormat="false" ht="46.25" hidden="false" customHeight="false" outlineLevel="0" collapsed="false">
      <c r="A83" s="6" t="n">
        <v>2</v>
      </c>
      <c r="B83" s="5" t="s">
        <v>213</v>
      </c>
      <c r="C83" s="5" t="s">
        <v>168</v>
      </c>
      <c r="D83" s="21" t="s">
        <v>30</v>
      </c>
      <c r="E83" s="5" t="s">
        <v>214</v>
      </c>
    </row>
    <row r="84" customFormat="false" ht="35.05" hidden="false" customHeight="false" outlineLevel="0" collapsed="false">
      <c r="A84" s="6" t="n">
        <v>3</v>
      </c>
      <c r="B84" s="5" t="s">
        <v>215</v>
      </c>
      <c r="C84" s="5" t="s">
        <v>172</v>
      </c>
      <c r="D84" s="20" t="s">
        <v>28</v>
      </c>
      <c r="E84" s="5" t="s">
        <v>216</v>
      </c>
    </row>
    <row r="85" customFormat="false" ht="35.05" hidden="false" customHeight="false" outlineLevel="0" collapsed="false">
      <c r="A85" s="6" t="n">
        <v>4</v>
      </c>
      <c r="B85" s="5" t="s">
        <v>215</v>
      </c>
      <c r="C85" s="5" t="s">
        <v>174</v>
      </c>
      <c r="D85" s="20" t="s">
        <v>28</v>
      </c>
      <c r="E85" s="5" t="s">
        <v>217</v>
      </c>
    </row>
    <row r="86" customFormat="false" ht="35.05" hidden="false" customHeight="false" outlineLevel="0" collapsed="false">
      <c r="A86" s="6" t="n">
        <v>5</v>
      </c>
      <c r="B86" s="5" t="s">
        <v>218</v>
      </c>
      <c r="C86" s="5" t="s">
        <v>168</v>
      </c>
      <c r="D86" s="21" t="s">
        <v>30</v>
      </c>
      <c r="E86" s="5" t="s">
        <v>219</v>
      </c>
    </row>
    <row r="87" customFormat="false" ht="35.05" hidden="false" customHeight="false" outlineLevel="0" collapsed="false">
      <c r="A87" s="6" t="n">
        <v>6</v>
      </c>
      <c r="B87" s="5" t="s">
        <v>220</v>
      </c>
      <c r="C87" s="5" t="s">
        <v>179</v>
      </c>
      <c r="D87" s="20" t="s">
        <v>28</v>
      </c>
      <c r="E87" s="5" t="s">
        <v>221</v>
      </c>
    </row>
    <row r="88" customFormat="false" ht="35.05" hidden="false" customHeight="false" outlineLevel="0" collapsed="false">
      <c r="A88" s="6" t="n">
        <v>7</v>
      </c>
      <c r="B88" s="5" t="s">
        <v>222</v>
      </c>
      <c r="C88" s="5" t="s">
        <v>181</v>
      </c>
      <c r="D88" s="20" t="s">
        <v>28</v>
      </c>
      <c r="E88" s="5" t="s">
        <v>223</v>
      </c>
    </row>
  </sheetData>
  <mergeCells count="14">
    <mergeCell ref="A1:E1"/>
    <mergeCell ref="A4:E4"/>
    <mergeCell ref="A5:E5"/>
    <mergeCell ref="A6:E6"/>
    <mergeCell ref="A7:E7"/>
    <mergeCell ref="A8:E8"/>
    <mergeCell ref="A9:E9"/>
    <mergeCell ref="A12:E14"/>
    <mergeCell ref="A15:E17"/>
    <mergeCell ref="A39:E39"/>
    <mergeCell ref="A40:E40"/>
    <mergeCell ref="A41:E41"/>
    <mergeCell ref="A42:E42"/>
    <mergeCell ref="A43:E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4" min="2" style="0" width="18"/>
    <col collapsed="false" customWidth="true" hidden="false" outlineLevel="0" max="5" min="5" style="0" width="9"/>
  </cols>
  <sheetData>
    <row r="1" customFormat="false" ht="15" hidden="false" customHeight="false" outlineLevel="0" collapsed="false">
      <c r="A1" s="23" t="s">
        <v>224</v>
      </c>
      <c r="B1" s="23"/>
      <c r="C1" s="23"/>
      <c r="D1" s="23"/>
      <c r="E1" s="23"/>
    </row>
    <row r="3" customFormat="false" ht="23.85" hidden="false" customHeight="false" outlineLevel="0" collapsed="false">
      <c r="A3" s="4" t="s">
        <v>225</v>
      </c>
      <c r="B3" s="4" t="s">
        <v>226</v>
      </c>
      <c r="C3" s="4" t="s">
        <v>227</v>
      </c>
      <c r="D3" s="4" t="s">
        <v>228</v>
      </c>
      <c r="E3" s="4" t="s">
        <v>229</v>
      </c>
    </row>
    <row r="4" customFormat="false" ht="15" hidden="false" customHeight="false" outlineLevel="0" collapsed="false">
      <c r="A4" s="24" t="s">
        <v>47</v>
      </c>
      <c r="B4" s="6" t="n">
        <f aca="false">COUNTIFS('All Threats'!$A$2:$A$60,"A — Conf. workshop",'All Threats'!$D$2:$D$60,$A4)</f>
        <v>11</v>
      </c>
      <c r="C4" s="6" t="n">
        <f aca="false">COUNTIFS('All Threats'!$A$2:$A$60,"B — CTF group",'All Threats'!$D$2:$D$60,$A4)</f>
        <v>7</v>
      </c>
      <c r="D4" s="6" t="n">
        <f aca="false">COUNTIFS('All Threats'!$A$2:$A$60,"C — Master students",'All Threats'!$D$2:$D$60,$A4)</f>
        <v>3</v>
      </c>
      <c r="E4" s="25" t="n">
        <f aca="false">SUM(B4:D4)</f>
        <v>21</v>
      </c>
    </row>
    <row r="5" customFormat="false" ht="15" hidden="false" customHeight="false" outlineLevel="0" collapsed="false">
      <c r="A5" s="24" t="s">
        <v>124</v>
      </c>
      <c r="B5" s="6" t="n">
        <f aca="false">COUNTIFS('All Threats'!$A$2:$A$60,"A — Conf. workshop",'All Threats'!$D$2:$D$60,$A5)</f>
        <v>0</v>
      </c>
      <c r="C5" s="6" t="n">
        <f aca="false">COUNTIFS('All Threats'!$A$2:$A$60,"B — CTF group",'All Threats'!$D$2:$D$60,$A5)</f>
        <v>7</v>
      </c>
      <c r="D5" s="6" t="n">
        <f aca="false">COUNTIFS('All Threats'!$A$2:$A$60,"C — Master students",'All Threats'!$D$2:$D$60,$A5)</f>
        <v>0</v>
      </c>
      <c r="E5" s="25" t="n">
        <f aca="false">SUM(B5:D5)</f>
        <v>7</v>
      </c>
    </row>
    <row r="6" customFormat="false" ht="15" hidden="false" customHeight="false" outlineLevel="0" collapsed="false">
      <c r="A6" s="24" t="s">
        <v>230</v>
      </c>
      <c r="B6" s="6" t="n">
        <f aca="false">COUNTIFS('All Threats'!$A$2:$A$60,"A — Conf. workshop",'All Threats'!$D$2:$D$60,$A6)</f>
        <v>0</v>
      </c>
      <c r="C6" s="6" t="n">
        <f aca="false">COUNTIFS('All Threats'!$A$2:$A$60,"B — CTF group",'All Threats'!$D$2:$D$60,$A6)</f>
        <v>0</v>
      </c>
      <c r="D6" s="6" t="n">
        <f aca="false">COUNTIFS('All Threats'!$A$2:$A$60,"C — Master students",'All Threats'!$D$2:$D$60,$A6)</f>
        <v>0</v>
      </c>
      <c r="E6" s="25" t="n">
        <f aca="false">SUM(B6:D6)</f>
        <v>0</v>
      </c>
    </row>
    <row r="7" customFormat="false" ht="15" hidden="false" customHeight="false" outlineLevel="0" collapsed="false">
      <c r="A7" s="24" t="s">
        <v>231</v>
      </c>
      <c r="B7" s="6" t="n">
        <f aca="false">COUNTIFS('All Threats'!$A$2:$A$60,"A — Conf. workshop",'All Threats'!$D$2:$D$60,$A7)</f>
        <v>0</v>
      </c>
      <c r="C7" s="6" t="n">
        <f aca="false">COUNTIFS('All Threats'!$A$2:$A$60,"B — CTF group",'All Threats'!$D$2:$D$60,$A7)</f>
        <v>0</v>
      </c>
      <c r="D7" s="6" t="n">
        <f aca="false">COUNTIFS('All Threats'!$A$2:$A$60,"C — Master students",'All Threats'!$D$2:$D$60,$A7)</f>
        <v>0</v>
      </c>
      <c r="E7" s="25" t="n">
        <f aca="false">SUM(B7:D7)</f>
        <v>0</v>
      </c>
    </row>
    <row r="8" customFormat="false" ht="15" hidden="false" customHeight="false" outlineLevel="0" collapsed="false">
      <c r="A8" s="24" t="s">
        <v>153</v>
      </c>
      <c r="B8" s="6" t="n">
        <f aca="false">COUNTIFS('All Threats'!$A$2:$A$60,"A — Conf. workshop",'All Threats'!$D$2:$D$60,$A8)</f>
        <v>0</v>
      </c>
      <c r="C8" s="6" t="n">
        <f aca="false">COUNTIFS('All Threats'!$A$2:$A$60,"B — CTF group",'All Threats'!$D$2:$D$60,$A8)</f>
        <v>1</v>
      </c>
      <c r="D8" s="6" t="n">
        <f aca="false">COUNTIFS('All Threats'!$A$2:$A$60,"C — Master students",'All Threats'!$D$2:$D$60,$A8)</f>
        <v>0</v>
      </c>
      <c r="E8" s="25" t="n">
        <f aca="false">SUM(B8:D8)</f>
        <v>1</v>
      </c>
    </row>
    <row r="9" customFormat="false" ht="15" hidden="false" customHeight="false" outlineLevel="0" collapsed="false">
      <c r="A9" s="24" t="s">
        <v>158</v>
      </c>
      <c r="B9" s="6" t="n">
        <f aca="false">COUNTIFS('All Threats'!$A$2:$A$60,"A — Conf. workshop",'All Threats'!$D$2:$D$60,$A9)</f>
        <v>0</v>
      </c>
      <c r="C9" s="6" t="n">
        <f aca="false">COUNTIFS('All Threats'!$A$2:$A$60,"B — CTF group",'All Threats'!$D$2:$D$60,$A9)</f>
        <v>1</v>
      </c>
      <c r="D9" s="6" t="n">
        <f aca="false">COUNTIFS('All Threats'!$A$2:$A$60,"C — Master students",'All Threats'!$D$2:$D$60,$A9)</f>
        <v>4</v>
      </c>
      <c r="E9" s="25" t="n">
        <f aca="false">SUM(B9:D9)</f>
        <v>5</v>
      </c>
    </row>
    <row r="10" customFormat="false" ht="15" hidden="false" customHeight="false" outlineLevel="0" collapsed="false">
      <c r="A10" s="26" t="s">
        <v>229</v>
      </c>
      <c r="B10" s="27" t="n">
        <f aca="false">SUM(B4:B9)</f>
        <v>11</v>
      </c>
      <c r="C10" s="27" t="n">
        <f aca="false">SUM(C4:C9)</f>
        <v>16</v>
      </c>
      <c r="D10" s="27" t="n">
        <f aca="false">SUM(D4:D9)</f>
        <v>7</v>
      </c>
      <c r="E10" s="27" t="n">
        <f aca="false">SUM(E4:E9)</f>
        <v>34</v>
      </c>
    </row>
    <row r="12" customFormat="false" ht="15" hidden="false" customHeight="true" outlineLevel="0" collapsed="false">
      <c r="A12" s="7" t="s">
        <v>232</v>
      </c>
      <c r="B12" s="7"/>
      <c r="C12" s="7"/>
      <c r="D12" s="7"/>
      <c r="E12" s="7"/>
    </row>
    <row r="13" customFormat="false" ht="15" hidden="false" customHeight="false" outlineLevel="0" collapsed="false">
      <c r="A13" s="7"/>
      <c r="B13" s="7"/>
      <c r="C13" s="7"/>
      <c r="D13" s="7"/>
      <c r="E13" s="7"/>
    </row>
    <row r="14" customFormat="false" ht="15" hidden="false" customHeight="false" outlineLevel="0" collapsed="false">
      <c r="A14" s="7"/>
      <c r="B14" s="7"/>
      <c r="C14" s="7"/>
      <c r="D14" s="7"/>
      <c r="E14" s="7"/>
    </row>
  </sheetData>
  <mergeCells count="2">
    <mergeCell ref="A1:E1"/>
    <mergeCell ref="A12:E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2026-06-01T20:52:11Z</dcterms:created>
  <dc:creator>openpyxl</dc:creator>
  <dc:description/>
  <dc:language>en-US</dc:language>
  <cp:lastModifiedBy/>
  <dcterms:modified xsi:type="dcterms:W3CDTF">2026-06-01T20:52:11Z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